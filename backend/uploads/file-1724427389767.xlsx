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/>
  <mc:AlternateContent xmlns:mc="http://schemas.openxmlformats.org/markup-compatibility/2006">
    <mc:Choice Requires="x15">
      <x15ac:absPath xmlns:x15ac="http://schemas.microsoft.com/office/spreadsheetml/2010/11/ac" url="C:\Users\Priyansh\Downloads\"/>
    </mc:Choice>
  </mc:AlternateContent>
  <xr:revisionPtr revIDLastSave="0" documentId="13_ncr:1_{77617249-8EDC-4C73-9C33-F7345987C71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Sheet1!$A$2:$T$379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1" i="1" l="1"/>
  <c r="R11" i="1"/>
  <c r="Q11" i="1"/>
  <c r="P11" i="1"/>
  <c r="O11" i="1"/>
  <c r="N11" i="1"/>
  <c r="M11" i="1"/>
  <c r="S10" i="1"/>
  <c r="R10" i="1"/>
  <c r="Q10" i="1"/>
  <c r="P10" i="1"/>
  <c r="O10" i="1"/>
  <c r="N10" i="1"/>
  <c r="M10" i="1"/>
  <c r="S9" i="1"/>
  <c r="R9" i="1"/>
  <c r="Q9" i="1"/>
  <c r="P9" i="1"/>
  <c r="O9" i="1"/>
  <c r="N9" i="1"/>
  <c r="M9" i="1"/>
  <c r="S8" i="1"/>
  <c r="R8" i="1"/>
  <c r="Q8" i="1"/>
  <c r="P8" i="1"/>
  <c r="O8" i="1"/>
  <c r="N8" i="1"/>
  <c r="M8" i="1"/>
  <c r="S7" i="1"/>
  <c r="R7" i="1"/>
  <c r="Q7" i="1"/>
  <c r="P7" i="1"/>
  <c r="O7" i="1"/>
  <c r="N7" i="1"/>
  <c r="M7" i="1"/>
  <c r="S6" i="1"/>
  <c r="R6" i="1"/>
  <c r="Q6" i="1"/>
  <c r="P6" i="1"/>
  <c r="O6" i="1"/>
  <c r="N6" i="1"/>
  <c r="M6" i="1"/>
  <c r="S5" i="1"/>
  <c r="R5" i="1"/>
  <c r="Q5" i="1"/>
  <c r="P5" i="1"/>
  <c r="O5" i="1"/>
  <c r="N5" i="1"/>
  <c r="M5" i="1"/>
  <c r="S4" i="1"/>
  <c r="R4" i="1"/>
  <c r="Q4" i="1"/>
  <c r="P4" i="1"/>
  <c r="O4" i="1"/>
  <c r="N4" i="1"/>
  <c r="M4" i="1"/>
  <c r="S3" i="1"/>
  <c r="R3" i="1"/>
  <c r="Q3" i="1"/>
  <c r="P3" i="1"/>
  <c r="O3" i="1"/>
  <c r="N3" i="1"/>
  <c r="M3" i="1"/>
  <c r="S1" i="1"/>
</calcChain>
</file>

<file path=xl/sharedStrings.xml><?xml version="1.0" encoding="utf-8"?>
<sst xmlns="http://schemas.openxmlformats.org/spreadsheetml/2006/main" count="59" uniqueCount="28">
  <si>
    <t>Rider_id</t>
  </si>
  <si>
    <t xml:space="preserve">Sum of  Amount to credit </t>
  </si>
  <si>
    <t>Grand Total</t>
  </si>
  <si>
    <t>Order_date</t>
  </si>
  <si>
    <t>Name</t>
  </si>
  <si>
    <t>HUB</t>
  </si>
  <si>
    <t>City</t>
  </si>
  <si>
    <t>FWD+REV ORDERS</t>
  </si>
  <si>
    <t>SDD ORDERS</t>
  </si>
  <si>
    <t>Total_clubbed_order</t>
  </si>
  <si>
    <t>RTS+FM_Orders</t>
  </si>
  <si>
    <t>FWD+REV Rate</t>
  </si>
  <si>
    <t>SDD RATE</t>
  </si>
  <si>
    <t xml:space="preserve"> CLUBBED ORD RATE </t>
  </si>
  <si>
    <t xml:space="preserve"> FWD+ REV TOTAL AMT </t>
  </si>
  <si>
    <t xml:space="preserve"> SDD TOTAL AMOUNT </t>
  </si>
  <si>
    <t xml:space="preserve"> Total Clubbed order Amt </t>
  </si>
  <si>
    <t xml:space="preserve"> TOTAL RTS + FM AMt </t>
  </si>
  <si>
    <t xml:space="preserve"> TOTAL M+N+O+P </t>
  </si>
  <si>
    <t xml:space="preserve"> L.P. @ 1% </t>
  </si>
  <si>
    <t xml:space="preserve"> Amount to credit </t>
  </si>
  <si>
    <t>Date Range</t>
  </si>
  <si>
    <t>Amjad</t>
  </si>
  <si>
    <t>DEL_Patparganj</t>
  </si>
  <si>
    <t>Delhi</t>
  </si>
  <si>
    <t>05-08-24 TO 11-08-24</t>
  </si>
  <si>
    <t>Jyoti Kumari Store</t>
  </si>
  <si>
    <t>DEL_Burari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</si>
</sst>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 * #,##0.00_ ;_ * \-#,##0.00_ ;_ * &quot;-&quot;??_ ;_ @_ "/>
    <numFmt numFmtId="166" formatCode="dd/mm/yyyy;@"/>
    <numFmt numFmtId="167" formatCode="0.00_);[Red]\(0.00\)"/>
  </numFmts>
  <fonts count="3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D7D31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166" fontId="1" fillId="2" borderId="1" xfId="0" applyNumberFormat="1" applyFont="1" applyFill="1" applyBorder="1" applyAlignment="1">
      <alignment horizontal="center" vertical="center" wrapText="1"/>
    </xf>
    <xf numFmtId="167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/>
    <xf numFmtId="166" fontId="0" fillId="0" borderId="0" xfId="0" applyNumberFormat="1" applyAlignment="1"/>
    <xf numFmtId="43" fontId="1" fillId="2" borderId="1" xfId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3" fontId="1" fillId="2" borderId="1" xfId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26">
    <dxf>
      <font>
        <b val="0"/>
        <i val="0"/>
        <strike val="0"/>
        <u val="none"/>
        <sz val="11"/>
        <color theme="1"/>
        <name val="Calibri"/>
        <charset val="134"/>
        <scheme val="none"/>
      </font>
      <fill>
        <patternFill patternType="none"/>
      </fill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  <fill>
        <patternFill patternType="none"/>
      </fill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  <fill>
        <patternFill patternType="none"/>
      </fill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  <fill>
        <patternFill patternType="none"/>
      </fill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  <fill>
        <patternFill patternType="none"/>
      </fill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  <fill>
        <patternFill patternType="none"/>
      </fill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  <fill>
        <patternFill patternType="none"/>
      </fill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  <numFmt numFmtId="166" formatCode="dd/mm/yyyy;@"/>
      <fill>
        <patternFill patternType="none"/>
      </fill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  <fill>
        <patternFill patternType="none"/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5"/>
      <tableStyleElement type="headerRow" dxfId="24"/>
      <tableStyleElement type="totalRow" dxfId="23"/>
      <tableStyleElement type="firstColumn" dxfId="22"/>
      <tableStyleElement type="lastColumn" dxfId="21"/>
      <tableStyleElement type="firstRowStripe" dxfId="20"/>
      <tableStyleElement type="firstColumnStripe" dxfId="19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bham" refreshedDate="45516.662048611099" createdVersion="5" refreshedVersion="5" minRefreshableVersion="3" recordCount="377" xr:uid="{00000000-000A-0000-FFFF-FFFF00000000}">
  <cacheSource type="worksheet">
    <worksheetSource name="Table1"/>
  </cacheSource>
  <cacheFields count="20">
    <cacheField name="Rider_id" numFmtId="0">
      <sharedItems containsSemiMixedTypes="0" containsString="0" containsNumber="1" containsInteger="1" minValue="0" maxValue="5085347" count="82">
        <n v="115423"/>
        <n v="218619"/>
        <n v="641800"/>
        <n v="652514"/>
        <n v="656262"/>
        <n v="719648"/>
        <n v="989724"/>
        <n v="1020330"/>
        <n v="1066721"/>
        <n v="1340684"/>
        <n v="1367231"/>
        <n v="1438635"/>
        <n v="1440787"/>
        <n v="1844773"/>
        <n v="1980518"/>
        <n v="2074755"/>
        <n v="2260443"/>
        <n v="2279276"/>
        <n v="2422645"/>
        <n v="2486469"/>
        <n v="2523452"/>
        <n v="2887480"/>
        <n v="2981873"/>
        <n v="3019264"/>
        <n v="3285303"/>
        <n v="3439656"/>
        <n v="3471879"/>
        <n v="3530069"/>
        <n v="3566686"/>
        <n v="4043094"/>
        <n v="4089468"/>
        <n v="4225595"/>
        <n v="4265984"/>
        <n v="4347525"/>
        <n v="4355254"/>
        <n v="4355349"/>
        <n v="4410017"/>
        <n v="4503785"/>
        <n v="4514679"/>
        <n v="4535655"/>
        <n v="4540573"/>
        <n v="4549744"/>
        <n v="4571255"/>
        <n v="4573566"/>
        <n v="4573871"/>
        <n v="4589223"/>
        <n v="4591370"/>
        <n v="4608063"/>
        <n v="4610666"/>
        <n v="4620826"/>
        <n v="4634307"/>
        <n v="4654347"/>
        <n v="4664740"/>
        <n v="4665756"/>
        <n v="4671352"/>
        <n v="4676053"/>
        <n v="4687336"/>
        <n v="4694879"/>
        <n v="4697395"/>
        <n v="4702581"/>
        <n v="4727309"/>
        <n v="4742088"/>
        <n v="4780923"/>
        <n v="4872376"/>
        <n v="4891192"/>
        <n v="4902329"/>
        <n v="4908494"/>
        <n v="4909378"/>
        <n v="4926793"/>
        <n v="4952152"/>
        <n v="5025433"/>
        <n v="5036274"/>
        <n v="5046111"/>
        <n v="5046496"/>
        <n v="5058578"/>
        <n v="5061023"/>
        <n v="5062979"/>
        <n v="5068174"/>
        <n v="5077579"/>
        <n v="5077620"/>
        <n v="5084605"/>
        <n v="5085347"/>
      </sharedItems>
    </cacheField>
    <cacheField name="Order_date" numFmtId="166">
      <sharedItems containsSemiMixedTypes="0" containsNonDate="0" containsDate="1" containsString="0" minDate="2024-08-05T00:00:00" maxDate="2024-08-11T00:00:00" count="7">
        <d v="2024-08-07T00:00:00"/>
        <d v="2024-08-08T00:00:00"/>
        <d v="2024-08-09T00:00:00"/>
        <d v="2024-08-06T00:00:00"/>
        <d v="2024-08-10T00:00:00"/>
        <d v="2024-08-11T00:00:00"/>
        <d v="2024-08-05T00:00:00"/>
      </sharedItems>
    </cacheField>
    <cacheField name="Name" numFmtId="0">
      <sharedItems count="80">
        <s v="Amjad"/>
        <s v="Jyoti Kumari Store"/>
        <s v="Ankur"/>
        <s v="Pintoo Kumar Shahu"/>
        <s v="Vikram Malhotra"/>
        <s v="Akhilesh Ojha"/>
        <s v="Dishant Mehra"/>
        <s v="Deepak Pal"/>
        <s v="Satver Singh Gurjar"/>
        <s v="Vijay Singh"/>
        <s v="Rahul"/>
        <s v="Manish Sharma"/>
        <s v="Vijay Kumar"/>
        <s v="Vishw Jeet"/>
        <s v="Ashish Gupta 3208"/>
        <s v="Dhruv  Panchoury"/>
        <s v="Gouri Shankar Sahu"/>
        <s v="Prabhat Pal"/>
        <s v="Vicky"/>
        <s v="Mohd Aadil"/>
        <s v="Sachin Kumar"/>
        <s v="Vishal"/>
        <s v="Gaurav Kumar"/>
        <s v="Harmeet Mehra"/>
        <s v="Akhilesh Kumar"/>
        <s v="Lalit"/>
        <s v="Md Ahmed"/>
        <s v="Brijesh Kumar Jha"/>
        <s v="Pradeep Dutt"/>
        <s v="Raja"/>
        <s v="Himanshu Goyal"/>
        <s v="Deepak"/>
        <s v="Sunny 123"/>
        <s v="Aman"/>
        <s v="Dhruv Singhal"/>
        <s v="Chander Shekher"/>
        <s v=" Vivek"/>
        <s v=" Rahul"/>
        <s v="Kamal Singh"/>
        <s v="Deepak Kumar"/>
        <s v="Suraj Sahoo"/>
        <s v="Vishal Barman"/>
        <s v="Yogesh Kumar"/>
        <s v="Mohd Faisal"/>
        <s v="Karan Singh"/>
        <s v="Salman Khan"/>
        <s v="Vikas Kumar"/>
        <s v="Chandan Singh"/>
        <s v="Mithlesh Kumar"/>
        <s v="Gaurav Singh"/>
        <s v="Boby"/>
        <s v="Shekhar"/>
        <s v="Jalaj Gaur"/>
        <s v="Rupender Kumar Sharma"/>
        <s v="Bhupender Kumar Sharma"/>
        <s v="Rakesh Kumar"/>
        <s v="Somvati"/>
        <s v="Mohit Kumar"/>
        <s v="Surender Parasar"/>
        <s v="Rupali Devi"/>
        <s v="Tafseer"/>
        <s v="Mukesh Kumar"/>
        <s v="Suraj Chavariya"/>
        <s v="Sunny Kumar"/>
        <s v="Karan Kashyap"/>
        <s v=" Farman"/>
        <s v="Salim Ahmad"/>
        <s v="Akshay Kumar"/>
        <s v="Kuldeep Sharma"/>
        <s v="Anish Kumar Singh"/>
        <s v="Renu Yadav"/>
        <s v="Rohit"/>
        <s v="Mahesh"/>
        <s v="Raja Chauhan"/>
        <s v="Balwan"/>
        <s v="Kunal"/>
        <s v="Adarsh Rathore"/>
        <s v="Dharmender Bamdev"/>
        <s v="Monu Tyagi"/>
        <s v="Shahnawaj"/>
      </sharedItems>
    </cacheField>
    <cacheField name="HUB" numFmtId="0">
      <sharedItems count="28">
        <s v="DEL_Patparganj"/>
        <s v="DEL_Burari"/>
        <s v="DEL_Bawana"/>
        <s v="NOI_Sector2_E"/>
        <s v="DEL_Lawrence"/>
        <s v="DEL_TilakNagar"/>
        <s v="DEL_Badli"/>
        <s v="HAR_Badshahpur"/>
        <s v="DEL_UttamNagar"/>
        <s v="DEL_LadoSarai"/>
        <s v="GZB_Indirapuram"/>
        <s v="DEL_Janakpuri"/>
        <s v="DEL_LajpatNagar"/>
        <s v="DEL_MayurVihar"/>
        <s v="DEL_Najafgarh"/>
        <s v="DEL_Bijwasan"/>
        <s v="Del_Pitampura"/>
        <s v="NOI_Sector45_E"/>
        <s v="DEL_Okhla"/>
        <s v="DEL_Daryaganj"/>
        <s v="DEL_Rithala"/>
        <s v="GZB_LoniDehat"/>
        <s v="DEL_GeetaColony"/>
        <s v="DEL_Jasola"/>
        <s v="Del_Bhajanpura"/>
        <s v="GZB_Nehrunagar"/>
        <s v="DEL_Dilshadgarden"/>
        <s v="DEL_LM_KirtiNagar"/>
      </sharedItems>
    </cacheField>
    <cacheField name="City" numFmtId="0">
      <sharedItems count="5">
        <s v="Delhi"/>
        <s v="Greater Noida"/>
        <s v="Gurgaon"/>
        <s v="Ghaziabad"/>
        <s v="Noida"/>
      </sharedItems>
    </cacheField>
    <cacheField name="FWD+REV ORDERS" numFmtId="0">
      <sharedItems containsSemiMixedTypes="0" containsString="0" containsNumber="1" containsInteger="1" minValue="0" maxValue="87" count="72">
        <n v="17"/>
        <n v="29"/>
        <n v="9"/>
        <n v="48"/>
        <n v="37"/>
        <n v="22"/>
        <n v="44"/>
        <n v="32"/>
        <n v="45"/>
        <n v="21"/>
        <n v="47"/>
        <n v="57"/>
        <n v="43"/>
        <n v="39"/>
        <n v="46"/>
        <n v="28"/>
        <n v="33"/>
        <n v="0"/>
        <n v="3"/>
        <n v="1"/>
        <n v="2"/>
        <n v="10"/>
        <n v="26"/>
        <n v="23"/>
        <n v="68"/>
        <n v="71"/>
        <n v="58"/>
        <n v="66"/>
        <n v="63"/>
        <n v="79"/>
        <n v="64"/>
        <n v="50"/>
        <n v="56"/>
        <n v="51"/>
        <n v="59"/>
        <n v="30"/>
        <n v="12"/>
        <n v="34"/>
        <n v="35"/>
        <n v="27"/>
        <n v="42"/>
        <n v="38"/>
        <n v="41"/>
        <n v="16"/>
        <n v="54"/>
        <n v="49"/>
        <n v="31"/>
        <n v="19"/>
        <n v="6"/>
        <n v="11"/>
        <n v="69"/>
        <n v="87"/>
        <n v="72"/>
        <n v="24"/>
        <n v="62"/>
        <n v="36"/>
        <n v="4"/>
        <n v="8"/>
        <n v="18"/>
        <n v="14"/>
        <n v="13"/>
        <n v="25"/>
        <n v="15"/>
        <n v="40"/>
        <n v="52"/>
        <n v="5"/>
        <n v="61"/>
        <n v="82"/>
        <n v="77"/>
        <n v="20"/>
        <n v="7"/>
        <n v="55"/>
      </sharedItems>
    </cacheField>
    <cacheField name="SDD ORDERS" numFmtId="0">
      <sharedItems containsSemiMixedTypes="0" containsString="0" containsNumber="1" containsInteger="1" minValue="0" maxValue="34" count="32">
        <n v="0"/>
        <n v="21"/>
        <n v="25"/>
        <n v="16"/>
        <n v="23"/>
        <n v="28"/>
        <n v="11"/>
        <n v="19"/>
        <n v="12"/>
        <n v="8"/>
        <n v="9"/>
        <n v="15"/>
        <n v="7"/>
        <n v="10"/>
        <n v="29"/>
        <n v="26"/>
        <n v="18"/>
        <n v="20"/>
        <n v="14"/>
        <n v="4"/>
        <n v="24"/>
        <n v="27"/>
        <n v="3"/>
        <n v="1"/>
        <n v="30"/>
        <n v="6"/>
        <n v="13"/>
        <n v="5"/>
        <n v="17"/>
        <n v="34"/>
        <n v="31"/>
        <n v="22"/>
      </sharedItems>
    </cacheField>
    <cacheField name="Total_clubbed_order" numFmtId="0">
      <sharedItems containsSemiMixedTypes="0" containsString="0" containsNumber="1" containsInteger="1" minValue="0" maxValue="29" count="25">
        <n v="6"/>
        <n v="2"/>
        <n v="12"/>
        <n v="5"/>
        <n v="17"/>
        <n v="29"/>
        <n v="1"/>
        <n v="7"/>
        <n v="3"/>
        <n v="11"/>
        <n v="4"/>
        <n v="0"/>
        <n v="10"/>
        <n v="13"/>
        <n v="8"/>
        <n v="26"/>
        <n v="9"/>
        <n v="14"/>
        <n v="18"/>
        <n v="15"/>
        <n v="23"/>
        <n v="19"/>
        <n v="20"/>
        <n v="21"/>
        <n v="22"/>
      </sharedItems>
    </cacheField>
    <cacheField name="RTS+FM_Orders" numFmtId="0">
      <sharedItems containsSemiMixedTypes="0" containsString="0" containsNumber="1" containsInteger="1" minValue="0" maxValue="0" count="1">
        <n v="0"/>
      </sharedItems>
    </cacheField>
    <cacheField name="FWD+REV Rate" numFmtId="0">
      <sharedItems containsSemiMixedTypes="0" containsString="0" containsNumber="1" containsInteger="1" minValue="0" maxValue="18" count="2">
        <n v="17"/>
        <n v="18"/>
      </sharedItems>
    </cacheField>
    <cacheField name="SDD RATE" numFmtId="0">
      <sharedItems containsSemiMixedTypes="0" containsString="0" containsNumber="1" containsInteger="1" minValue="0" maxValue="22" count="1">
        <n v="22"/>
      </sharedItems>
    </cacheField>
    <cacheField name=" CLUBBED ORD RATE " numFmtId="0">
      <sharedItems containsSemiMixedTypes="0" containsString="0" containsNumber="1" containsInteger="1" minValue="0" maxValue="8" count="1">
        <n v="8"/>
      </sharedItems>
    </cacheField>
    <cacheField name=" FWD+ REV TOTAL AMT " numFmtId="0">
      <sharedItems containsSemiMixedTypes="0" containsString="0" containsNumber="1" containsInteger="1" minValue="0" maxValue="1566" count="86">
        <n v="289"/>
        <n v="493"/>
        <n v="153"/>
        <n v="816"/>
        <n v="629"/>
        <n v="374"/>
        <n v="748"/>
        <n v="544"/>
        <n v="765"/>
        <n v="357"/>
        <n v="799"/>
        <n v="969"/>
        <n v="731"/>
        <n v="663"/>
        <n v="782"/>
        <n v="476"/>
        <n v="561"/>
        <n v="0"/>
        <n v="51"/>
        <n v="17"/>
        <n v="34"/>
        <n v="170"/>
        <n v="442"/>
        <n v="391"/>
        <n v="846"/>
        <n v="1224"/>
        <n v="1278"/>
        <n v="1044"/>
        <n v="1188"/>
        <n v="1134"/>
        <n v="1343"/>
        <n v="1088"/>
        <n v="850"/>
        <n v="952"/>
        <n v="867"/>
        <n v="1156"/>
        <n v="1003"/>
        <n v="510"/>
        <n v="204"/>
        <n v="578"/>
        <n v="595"/>
        <n v="459"/>
        <n v="714"/>
        <n v="646"/>
        <n v="1071"/>
        <n v="697"/>
        <n v="272"/>
        <n v="918"/>
        <n v="833"/>
        <n v="527"/>
        <n v="323"/>
        <n v="102"/>
        <n v="187"/>
        <n v="1422"/>
        <n v="1242"/>
        <n v="1566"/>
        <n v="1296"/>
        <n v="1062"/>
        <n v="408"/>
        <n v="1054"/>
        <n v="612"/>
        <n v="68"/>
        <n v="136"/>
        <n v="306"/>
        <n v="238"/>
        <n v="221"/>
        <n v="504"/>
        <n v="630"/>
        <n v="378"/>
        <n v="702"/>
        <n v="540"/>
        <n v="425"/>
        <n v="255"/>
        <n v="680"/>
        <n v="884"/>
        <n v="85"/>
        <n v="1098"/>
        <n v="342"/>
        <n v="558"/>
        <n v="1122"/>
        <n v="1394"/>
        <n v="1309"/>
        <n v="340"/>
        <n v="119"/>
        <n v="1037"/>
        <n v="935"/>
      </sharedItems>
    </cacheField>
    <cacheField name=" SDD TOTAL AMOUNT " numFmtId="0">
      <sharedItems containsSemiMixedTypes="0" containsString="0" containsNumber="1" containsInteger="1" minValue="0" maxValue="748" count="32">
        <n v="0"/>
        <n v="462"/>
        <n v="550"/>
        <n v="352"/>
        <n v="506"/>
        <n v="616"/>
        <n v="242"/>
        <n v="418"/>
        <n v="264"/>
        <n v="176"/>
        <n v="198"/>
        <n v="330"/>
        <n v="154"/>
        <n v="220"/>
        <n v="638"/>
        <n v="572"/>
        <n v="396"/>
        <n v="440"/>
        <n v="308"/>
        <n v="88"/>
        <n v="528"/>
        <n v="594"/>
        <n v="66"/>
        <n v="22"/>
        <n v="660"/>
        <n v="132"/>
        <n v="286"/>
        <n v="110"/>
        <n v="374"/>
        <n v="748"/>
        <n v="682"/>
        <n v="484"/>
      </sharedItems>
    </cacheField>
    <cacheField name=" Total Clubbed order Amt " numFmtId="0">
      <sharedItems containsSemiMixedTypes="0" containsString="0" containsNumber="1" containsInteger="1" minValue="0" maxValue="232" count="25">
        <n v="48"/>
        <n v="16"/>
        <n v="96"/>
        <n v="40"/>
        <n v="136"/>
        <n v="232"/>
        <n v="8"/>
        <n v="56"/>
        <n v="24"/>
        <n v="88"/>
        <n v="32"/>
        <n v="0"/>
        <n v="80"/>
        <n v="104"/>
        <n v="64"/>
        <n v="208"/>
        <n v="72"/>
        <n v="112"/>
        <n v="144"/>
        <n v="120"/>
        <n v="184"/>
        <n v="152"/>
        <n v="160"/>
        <n v="168"/>
        <n v="176"/>
      </sharedItems>
    </cacheField>
    <cacheField name=" TOTAL RTS + FM AMt " numFmtId="0">
      <sharedItems containsSemiMixedTypes="0" containsString="0" containsNumber="1" containsInteger="1" minValue="0" maxValue="0" count="1">
        <n v="0"/>
      </sharedItems>
    </cacheField>
    <cacheField name=" TOTAL M+N+O+P " numFmtId="0">
      <sharedItems containsSemiMixedTypes="0" containsString="0" containsNumber="1" containsInteger="1" minValue="0" maxValue="1888" count="275">
        <n v="337"/>
        <n v="541"/>
        <n v="169"/>
        <n v="1374"/>
        <n v="1219"/>
        <n v="774"/>
        <n v="1434"/>
        <n v="1231"/>
        <n v="1256"/>
        <n v="805"/>
        <n v="607"/>
        <n v="847"/>
        <n v="1025"/>
        <n v="1197"/>
        <n v="687"/>
        <n v="870"/>
        <n v="787"/>
        <n v="389"/>
        <n v="508"/>
        <n v="609"/>
        <n v="525"/>
        <n v="392"/>
        <n v="272"/>
        <n v="51"/>
        <n v="192"/>
        <n v="238"/>
        <n v="355"/>
        <n v="280"/>
        <n v="266"/>
        <n v="34"/>
        <n v="332"/>
        <n v="442"/>
        <n v="407"/>
        <n v="643"/>
        <n v="926"/>
        <n v="1312"/>
        <n v="1888"/>
        <n v="1778"/>
        <n v="1852"/>
        <n v="1550"/>
        <n v="1551"/>
        <n v="1168"/>
        <n v="0"/>
        <n v="930"/>
        <n v="992"/>
        <n v="883"/>
        <n v="1447"/>
        <n v="1244"/>
        <n v="1059"/>
        <n v="518"/>
        <n v="866"/>
        <n v="212"/>
        <n v="906"/>
        <n v="862"/>
        <n v="666"/>
        <n v="534"/>
        <n v="633"/>
        <n v="507"/>
        <n v="399"/>
        <n v="730"/>
        <n v="653"/>
        <n v="662"/>
        <n v="625"/>
        <n v="611"/>
        <n v="848"/>
        <n v="1111"/>
        <n v="697"/>
        <n v="17"/>
        <n v="296"/>
        <n v="780"/>
        <n v="1077"/>
        <n v="733"/>
        <n v="872"/>
        <n v="618"/>
        <n v="483"/>
        <n v="753"/>
        <n v="1190"/>
        <n v="1030"/>
        <n v="1373"/>
        <n v="717"/>
        <n v="990"/>
        <n v="1033"/>
        <n v="670"/>
        <n v="559"/>
        <n v="678"/>
        <n v="305"/>
        <n v="339"/>
        <n v="365"/>
        <n v="474"/>
        <n v="102"/>
        <n v="228"/>
        <n v="393"/>
        <n v="379"/>
        <n v="404"/>
        <n v="242"/>
        <n v="216"/>
        <n v="88"/>
        <n v="578"/>
        <n v="700"/>
        <n v="336"/>
        <n v="1608"/>
        <n v="1508"/>
        <n v="1684"/>
        <n v="1502"/>
        <n v="1134"/>
        <n v="432"/>
        <n v="1515"/>
        <n v="660"/>
        <n v="1212"/>
        <n v="1627"/>
        <n v="1354"/>
        <n v="288"/>
        <n v="406"/>
        <n v="531"/>
        <n v="284"/>
        <n v="634"/>
        <n v="331"/>
        <n v="475"/>
        <n v="322"/>
        <n v="246"/>
        <n v="321"/>
        <n v="237"/>
        <n v="397"/>
        <n v="481"/>
        <n v="467"/>
        <n v="140"/>
        <n v="455"/>
        <n v="398"/>
        <n v="170"/>
        <n v="535"/>
        <n v="204"/>
        <n v="229"/>
        <n v="544"/>
        <n v="686"/>
        <n v="410"/>
        <n v="694"/>
        <n v="758"/>
        <n v="564"/>
        <n v="425"/>
        <n v="263"/>
        <n v="576"/>
        <n v="728"/>
        <n v="524"/>
        <n v="828"/>
        <n v="834"/>
        <n v="563"/>
        <n v="219"/>
        <n v="76"/>
        <n v="501"/>
        <n v="651"/>
        <n v="778"/>
        <n v="610"/>
        <n v="956"/>
        <n v="286"/>
        <n v="441"/>
        <n v="409"/>
        <n v="402"/>
        <n v="603"/>
        <n v="588"/>
        <n v="743"/>
        <n v="621"/>
        <n v="1000"/>
        <n v="490"/>
        <n v="658"/>
        <n v="632"/>
        <n v="512"/>
        <n v="668"/>
        <n v="804"/>
        <n v="714"/>
        <n v="1480"/>
        <n v="1368"/>
        <n v="1214"/>
        <n v="1210"/>
        <n v="888"/>
        <n v="1206"/>
        <n v="1016"/>
        <n v="838"/>
        <n v="342"/>
        <n v="718"/>
        <n v="1222"/>
        <n v="1392"/>
        <n v="656"/>
        <n v="1184"/>
        <n v="1240"/>
        <n v="1458"/>
        <n v="1485"/>
        <n v="1006"/>
        <n v="433"/>
        <n v="972"/>
        <n v="830"/>
        <n v="1203"/>
        <n v="1448"/>
        <n v="85"/>
        <n v="221"/>
        <n v="136"/>
        <n v="764"/>
        <n v="807"/>
        <n v="863"/>
        <n v="357"/>
        <n v="954"/>
        <n v="864"/>
        <n v="347"/>
        <n v="310"/>
        <n v="462"/>
        <n v="516"/>
        <n v="556"/>
        <n v="328"/>
        <n v="154"/>
        <n v="803"/>
        <n v="789"/>
        <n v="1049"/>
        <n v="584"/>
        <n v="543"/>
        <n v="663"/>
        <n v="855"/>
        <n v="581"/>
        <n v="532"/>
        <n v="42"/>
        <n v="161"/>
        <n v="254"/>
        <n v="874"/>
        <n v="1146"/>
        <n v="871"/>
        <n v="999"/>
        <n v="1484"/>
        <n v="493"/>
        <n v="300"/>
        <n v="456"/>
        <n v="608"/>
        <n v="466"/>
        <n v="325"/>
        <n v="152"/>
        <n v="279"/>
        <n v="340"/>
        <n v="502"/>
        <n v="947"/>
        <n v="281"/>
        <n v="354"/>
        <n v="338"/>
        <n v="640"/>
        <n v="702"/>
        <n v="712"/>
        <n v="775"/>
        <n v="295"/>
        <n v="405"/>
        <n v="593"/>
        <n v="209"/>
        <n v="330"/>
        <n v="110"/>
        <n v="313"/>
        <n v="382"/>
        <n v="458"/>
        <n v="592"/>
        <n v="459"/>
        <n v="529"/>
        <n v="798"/>
        <n v="602"/>
        <n v="264"/>
        <n v="119"/>
        <n v="958"/>
        <n v="1069"/>
        <n v="983"/>
        <n v="772"/>
        <n v="278"/>
        <n v="255"/>
        <n v="287"/>
        <n v="374"/>
        <n v="271"/>
        <n v="769"/>
        <n v="894"/>
        <n v="297"/>
        <n v="143"/>
        <n v="206"/>
        <n v="346"/>
        <n v="538"/>
      </sharedItems>
    </cacheField>
    <cacheField name=" L.P. @ 1% " numFmtId="0">
      <sharedItems containsSemiMixedTypes="0" containsString="0" containsNumber="1" minValue="0" maxValue="18.88" count="275">
        <n v="3.37"/>
        <n v="5.41"/>
        <n v="1.69"/>
        <n v="13.74"/>
        <n v="12.19"/>
        <n v="7.74"/>
        <n v="14.34"/>
        <n v="12.31"/>
        <n v="12.56"/>
        <n v="8.0500000000000007"/>
        <n v="6.07"/>
        <n v="8.4700000000000006"/>
        <n v="10.25"/>
        <n v="11.97"/>
        <n v="6.87"/>
        <n v="8.6999999999999993"/>
        <n v="7.87"/>
        <n v="3.89"/>
        <n v="5.08"/>
        <n v="6.09"/>
        <n v="5.25"/>
        <n v="3.92"/>
        <n v="2.72"/>
        <n v="0.51"/>
        <n v="1.92"/>
        <n v="2.38"/>
        <n v="3.55"/>
        <n v="2.8"/>
        <n v="2.66"/>
        <n v="0.34"/>
        <n v="3.32"/>
        <n v="4.42"/>
        <n v="4.07"/>
        <n v="6.43"/>
        <n v="9.26"/>
        <n v="13.12"/>
        <n v="18.88"/>
        <n v="17.78"/>
        <n v="18.52"/>
        <n v="15.5"/>
        <n v="15.51"/>
        <n v="11.68"/>
        <n v="0"/>
        <n v="9.3000000000000007"/>
        <n v="9.92"/>
        <n v="8.83"/>
        <n v="14.47"/>
        <n v="12.44"/>
        <n v="10.59"/>
        <n v="5.18"/>
        <n v="8.66"/>
        <n v="2.12"/>
        <n v="9.06"/>
        <n v="8.6199999999999992"/>
        <n v="6.66"/>
        <n v="5.34"/>
        <n v="6.33"/>
        <n v="5.07"/>
        <n v="3.99"/>
        <n v="7.3"/>
        <n v="6.53"/>
        <n v="6.62"/>
        <n v="6.25"/>
        <n v="6.11"/>
        <n v="8.48"/>
        <n v="11.11"/>
        <n v="6.97"/>
        <n v="0.17"/>
        <n v="2.96"/>
        <n v="7.8"/>
        <n v="10.77"/>
        <n v="7.33"/>
        <n v="8.7200000000000006"/>
        <n v="6.18"/>
        <n v="4.83"/>
        <n v="7.53"/>
        <n v="11.9"/>
        <n v="10.3"/>
        <n v="13.73"/>
        <n v="7.17"/>
        <n v="9.9"/>
        <n v="10.33"/>
        <n v="6.7"/>
        <n v="5.59"/>
        <n v="6.78"/>
        <n v="3.05"/>
        <n v="3.39"/>
        <n v="3.65"/>
        <n v="4.74"/>
        <n v="1.02"/>
        <n v="2.2799999999999998"/>
        <n v="3.93"/>
        <n v="3.79"/>
        <n v="4.04"/>
        <n v="2.42"/>
        <n v="2.16"/>
        <n v="0.88"/>
        <n v="5.78"/>
        <n v="7"/>
        <n v="3.36"/>
        <n v="16.079999999999998"/>
        <n v="15.08"/>
        <n v="16.84"/>
        <n v="15.02"/>
        <n v="11.34"/>
        <n v="4.32"/>
        <n v="15.15"/>
        <n v="6.6"/>
        <n v="12.12"/>
        <n v="16.27"/>
        <n v="13.54"/>
        <n v="2.88"/>
        <n v="4.0599999999999996"/>
        <n v="5.31"/>
        <n v="2.84"/>
        <n v="6.34"/>
        <n v="3.31"/>
        <n v="4.75"/>
        <n v="3.22"/>
        <n v="2.46"/>
        <n v="3.21"/>
        <n v="2.37"/>
        <n v="3.97"/>
        <n v="4.8099999999999996"/>
        <n v="4.67"/>
        <n v="1.4"/>
        <n v="4.55"/>
        <n v="3.98"/>
        <n v="1.7"/>
        <n v="5.35"/>
        <n v="2.04"/>
        <n v="2.29"/>
        <n v="5.44"/>
        <n v="6.86"/>
        <n v="4.0999999999999996"/>
        <n v="6.94"/>
        <n v="7.58"/>
        <n v="5.64"/>
        <n v="4.25"/>
        <n v="2.63"/>
        <n v="5.76"/>
        <n v="7.28"/>
        <n v="5.24"/>
        <n v="8.2799999999999994"/>
        <n v="8.34"/>
        <n v="5.63"/>
        <n v="2.19"/>
        <n v="0.76"/>
        <n v="5.01"/>
        <n v="6.51"/>
        <n v="7.78"/>
        <n v="6.1"/>
        <n v="9.56"/>
        <n v="2.86"/>
        <n v="4.41"/>
        <n v="4.09"/>
        <n v="4.0199999999999996"/>
        <n v="6.03"/>
        <n v="5.88"/>
        <n v="7.43"/>
        <n v="6.21"/>
        <n v="10"/>
        <n v="4.9000000000000004"/>
        <n v="6.58"/>
        <n v="6.32"/>
        <n v="5.12"/>
        <n v="6.68"/>
        <n v="8.0399999999999991"/>
        <n v="7.14"/>
        <n v="14.8"/>
        <n v="13.68"/>
        <n v="12.14"/>
        <n v="12.1"/>
        <n v="8.8800000000000008"/>
        <n v="12.06"/>
        <n v="10.16"/>
        <n v="8.3800000000000008"/>
        <n v="3.42"/>
        <n v="7.18"/>
        <n v="12.22"/>
        <n v="13.92"/>
        <n v="6.56"/>
        <n v="11.84"/>
        <n v="12.4"/>
        <n v="14.58"/>
        <n v="14.85"/>
        <n v="10.06"/>
        <n v="4.33"/>
        <n v="9.7200000000000006"/>
        <n v="8.3000000000000007"/>
        <n v="12.03"/>
        <n v="14.48"/>
        <n v="0.85"/>
        <n v="2.21"/>
        <n v="1.36"/>
        <n v="7.64"/>
        <n v="8.07"/>
        <n v="8.6300000000000008"/>
        <n v="3.57"/>
        <n v="9.5399999999999991"/>
        <n v="8.64"/>
        <n v="3.47"/>
        <n v="3.1"/>
        <n v="4.62"/>
        <n v="5.16"/>
        <n v="5.56"/>
        <n v="3.28"/>
        <n v="1.54"/>
        <n v="8.0299999999999994"/>
        <n v="7.89"/>
        <n v="10.49"/>
        <n v="5.84"/>
        <n v="5.43"/>
        <n v="6.63"/>
        <n v="8.5500000000000007"/>
        <n v="5.81"/>
        <n v="5.32"/>
        <n v="0.42"/>
        <n v="1.61"/>
        <n v="2.54"/>
        <n v="8.74"/>
        <n v="11.46"/>
        <n v="8.7100000000000009"/>
        <n v="9.99"/>
        <n v="14.84"/>
        <n v="4.93"/>
        <n v="3"/>
        <n v="4.5599999999999996"/>
        <n v="6.08"/>
        <n v="4.66"/>
        <n v="3.25"/>
        <n v="1.52"/>
        <n v="2.79"/>
        <n v="3.4"/>
        <n v="5.0199999999999996"/>
        <n v="9.4700000000000006"/>
        <n v="2.81"/>
        <n v="3.54"/>
        <n v="3.38"/>
        <n v="6.4"/>
        <n v="7.02"/>
        <n v="7.12"/>
        <n v="7.75"/>
        <n v="2.95"/>
        <n v="4.05"/>
        <n v="5.93"/>
        <n v="2.09"/>
        <n v="3.3"/>
        <n v="1.1000000000000001"/>
        <n v="3.13"/>
        <n v="3.82"/>
        <n v="4.58"/>
        <n v="5.92"/>
        <n v="4.59"/>
        <n v="5.29"/>
        <n v="7.98"/>
        <n v="6.02"/>
        <n v="2.64"/>
        <n v="1.19"/>
        <n v="9.58"/>
        <n v="10.69"/>
        <n v="9.83"/>
        <n v="7.72"/>
        <n v="2.78"/>
        <n v="2.5499999999999998"/>
        <n v="2.87"/>
        <n v="3.74"/>
        <n v="2.71"/>
        <n v="7.69"/>
        <n v="8.94"/>
        <n v="2.97"/>
        <n v="1.43"/>
        <n v="2.06"/>
        <n v="3.46"/>
        <n v="5.38"/>
      </sharedItems>
    </cacheField>
    <cacheField name=" Amount to credit " numFmtId="0">
      <sharedItems containsSemiMixedTypes="0" containsString="0" containsNumber="1" minValue="0" maxValue="1869.12" count="275">
        <n v="333.63"/>
        <n v="535.59"/>
        <n v="167.31"/>
        <n v="1360.26"/>
        <n v="1206.81"/>
        <n v="766.26"/>
        <n v="1419.66"/>
        <n v="1218.69"/>
        <n v="1243.44"/>
        <n v="796.95"/>
        <n v="600.92999999999995"/>
        <n v="838.53"/>
        <n v="1014.75"/>
        <n v="1185.03"/>
        <n v="680.13"/>
        <n v="861.3"/>
        <n v="779.13"/>
        <n v="385.11"/>
        <n v="502.92"/>
        <n v="602.91"/>
        <n v="519.75"/>
        <n v="388.08"/>
        <n v="269.27999999999997"/>
        <n v="50.49"/>
        <n v="190.08"/>
        <n v="235.62"/>
        <n v="351.45"/>
        <n v="277.2"/>
        <n v="263.33999999999997"/>
        <n v="33.659999999999997"/>
        <n v="328.68"/>
        <n v="437.58"/>
        <n v="402.93"/>
        <n v="636.57000000000005"/>
        <n v="916.74"/>
        <n v="1298.8800000000001"/>
        <n v="1869.12"/>
        <n v="1760.22"/>
        <n v="1833.48"/>
        <n v="1534.5"/>
        <n v="1535.49"/>
        <n v="1156.32"/>
        <n v="0"/>
        <n v="920.7"/>
        <n v="982.08"/>
        <n v="874.17"/>
        <n v="1432.53"/>
        <n v="1231.56"/>
        <n v="1048.4100000000001"/>
        <n v="512.82000000000005"/>
        <n v="857.34"/>
        <n v="209.88"/>
        <n v="896.94"/>
        <n v="853.38"/>
        <n v="659.34"/>
        <n v="528.66"/>
        <n v="626.66999999999996"/>
        <n v="501.93"/>
        <n v="395.01"/>
        <n v="722.7"/>
        <n v="646.47"/>
        <n v="655.38"/>
        <n v="618.75"/>
        <n v="604.89"/>
        <n v="839.52"/>
        <n v="1099.8900000000001"/>
        <n v="690.03"/>
        <n v="16.829999999999998"/>
        <n v="293.04000000000002"/>
        <n v="772.2"/>
        <n v="1066.23"/>
        <n v="725.67"/>
        <n v="863.28"/>
        <n v="611.82000000000005"/>
        <n v="478.17"/>
        <n v="745.47"/>
        <n v="1178.0999999999999"/>
        <n v="1019.7"/>
        <n v="1359.27"/>
        <n v="709.83"/>
        <n v="980.1"/>
        <n v="1022.67"/>
        <n v="663.3"/>
        <n v="553.41"/>
        <n v="671.22"/>
        <n v="301.95"/>
        <n v="335.61"/>
        <n v="361.35"/>
        <n v="469.26"/>
        <n v="100.98"/>
        <n v="225.72"/>
        <n v="389.07"/>
        <n v="375.21"/>
        <n v="399.96"/>
        <n v="239.58"/>
        <n v="213.84"/>
        <n v="87.12"/>
        <n v="572.22"/>
        <n v="693"/>
        <n v="332.64"/>
        <n v="1591.92"/>
        <n v="1492.92"/>
        <n v="1667.16"/>
        <n v="1486.98"/>
        <n v="1122.6600000000001"/>
        <n v="427.68"/>
        <n v="1499.85"/>
        <n v="653.4"/>
        <n v="1199.8800000000001"/>
        <n v="1610.73"/>
        <n v="1340.46"/>
        <n v="285.12"/>
        <n v="401.94"/>
        <n v="525.69000000000005"/>
        <n v="281.16000000000003"/>
        <n v="627.66"/>
        <n v="327.69"/>
        <n v="470.25"/>
        <n v="318.77999999999997"/>
        <n v="243.54"/>
        <n v="317.79000000000002"/>
        <n v="234.63"/>
        <n v="393.03"/>
        <n v="476.19"/>
        <n v="462.33"/>
        <n v="138.6"/>
        <n v="450.45"/>
        <n v="394.02"/>
        <n v="168.3"/>
        <n v="529.65"/>
        <n v="201.96"/>
        <n v="226.71"/>
        <n v="538.55999999999995"/>
        <n v="679.14"/>
        <n v="405.9"/>
        <n v="687.06"/>
        <n v="750.42"/>
        <n v="558.36"/>
        <n v="420.75"/>
        <n v="260.37"/>
        <n v="570.24"/>
        <n v="720.72"/>
        <n v="518.76"/>
        <n v="819.72"/>
        <n v="825.66"/>
        <n v="557.37"/>
        <n v="216.81"/>
        <n v="75.239999999999995"/>
        <n v="495.99"/>
        <n v="644.49"/>
        <n v="770.22"/>
        <n v="603.9"/>
        <n v="946.44"/>
        <n v="283.14"/>
        <n v="436.59"/>
        <n v="404.91"/>
        <n v="397.98"/>
        <n v="596.97"/>
        <n v="582.12"/>
        <n v="735.57"/>
        <n v="614.79"/>
        <n v="990"/>
        <n v="485.1"/>
        <n v="651.41999999999996"/>
        <n v="625.67999999999995"/>
        <n v="506.88"/>
        <n v="661.32"/>
        <n v="795.96"/>
        <n v="706.86"/>
        <n v="1465.2"/>
        <n v="1354.32"/>
        <n v="1201.8599999999999"/>
        <n v="1197.9000000000001"/>
        <n v="879.12"/>
        <n v="1193.94"/>
        <n v="1005.84"/>
        <n v="829.62"/>
        <n v="338.58"/>
        <n v="710.82"/>
        <n v="1209.78"/>
        <n v="1378.08"/>
        <n v="649.44000000000005"/>
        <n v="1172.1600000000001"/>
        <n v="1227.5999999999999"/>
        <n v="1443.42"/>
        <n v="1470.15"/>
        <n v="995.94"/>
        <n v="428.67"/>
        <n v="962.28"/>
        <n v="821.7"/>
        <n v="1190.97"/>
        <n v="1433.52"/>
        <n v="84.15"/>
        <n v="218.79"/>
        <n v="134.63999999999999"/>
        <n v="756.36"/>
        <n v="798.93"/>
        <n v="854.37"/>
        <n v="353.43"/>
        <n v="944.46"/>
        <n v="855.36"/>
        <n v="343.53"/>
        <n v="306.89999999999998"/>
        <n v="457.38"/>
        <n v="510.84"/>
        <n v="550.44000000000005"/>
        <n v="324.72000000000003"/>
        <n v="152.46"/>
        <n v="794.97"/>
        <n v="781.11"/>
        <n v="1038.51"/>
        <n v="578.16"/>
        <n v="537.57000000000005"/>
        <n v="656.37"/>
        <n v="846.45"/>
        <n v="575.19000000000005"/>
        <n v="526.67999999999995"/>
        <n v="41.58"/>
        <n v="159.38999999999999"/>
        <n v="251.46"/>
        <n v="865.26"/>
        <n v="1134.54"/>
        <n v="862.29"/>
        <n v="989.01"/>
        <n v="1469.16"/>
        <n v="488.07"/>
        <n v="297"/>
        <n v="451.44"/>
        <n v="601.91999999999996"/>
        <n v="461.34"/>
        <n v="321.75"/>
        <n v="150.47999999999999"/>
        <n v="276.20999999999998"/>
        <n v="336.6"/>
        <n v="496.98"/>
        <n v="937.53"/>
        <n v="278.19"/>
        <n v="350.46"/>
        <n v="334.62"/>
        <n v="633.6"/>
        <n v="694.98"/>
        <n v="704.88"/>
        <n v="767.25"/>
        <n v="292.05"/>
        <n v="400.95"/>
        <n v="587.07000000000005"/>
        <n v="206.91"/>
        <n v="326.7"/>
        <n v="108.9"/>
        <n v="309.87"/>
        <n v="378.18"/>
        <n v="453.42"/>
        <n v="586.08000000000004"/>
        <n v="454.41"/>
        <n v="523.71"/>
        <n v="790.02"/>
        <n v="595.98"/>
        <n v="261.36"/>
        <n v="117.81"/>
        <n v="948.42"/>
        <n v="1058.31"/>
        <n v="973.17"/>
        <n v="764.28"/>
        <n v="275.22000000000003"/>
        <n v="252.45"/>
        <n v="284.13"/>
        <n v="370.26"/>
        <n v="268.29000000000002"/>
        <n v="761.31"/>
        <n v="885.06"/>
        <n v="294.02999999999997"/>
        <n v="141.57"/>
        <n v="203.94"/>
        <n v="342.54"/>
        <n v="532.62"/>
      </sharedItems>
    </cacheField>
    <cacheField name="Date Range" numFmtId="0">
      <sharedItems count="1">
        <s v="05-08-24 TO 11-08-2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77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1"/>
    <x v="0"/>
    <x v="0"/>
    <x v="0"/>
    <x v="1"/>
    <x v="0"/>
    <x v="0"/>
    <x v="0"/>
    <x v="0"/>
    <x v="0"/>
    <x v="0"/>
    <x v="1"/>
    <x v="0"/>
    <x v="0"/>
    <x v="0"/>
    <x v="1"/>
    <x v="1"/>
    <x v="1"/>
    <x v="0"/>
  </r>
  <r>
    <x v="0"/>
    <x v="2"/>
    <x v="0"/>
    <x v="0"/>
    <x v="0"/>
    <x v="2"/>
    <x v="0"/>
    <x v="1"/>
    <x v="0"/>
    <x v="0"/>
    <x v="0"/>
    <x v="0"/>
    <x v="2"/>
    <x v="0"/>
    <x v="1"/>
    <x v="0"/>
    <x v="2"/>
    <x v="2"/>
    <x v="2"/>
    <x v="0"/>
  </r>
  <r>
    <x v="1"/>
    <x v="3"/>
    <x v="1"/>
    <x v="1"/>
    <x v="0"/>
    <x v="3"/>
    <x v="1"/>
    <x v="2"/>
    <x v="0"/>
    <x v="0"/>
    <x v="0"/>
    <x v="0"/>
    <x v="3"/>
    <x v="1"/>
    <x v="2"/>
    <x v="0"/>
    <x v="3"/>
    <x v="3"/>
    <x v="3"/>
    <x v="0"/>
  </r>
  <r>
    <x v="1"/>
    <x v="0"/>
    <x v="1"/>
    <x v="1"/>
    <x v="0"/>
    <x v="4"/>
    <x v="2"/>
    <x v="3"/>
    <x v="0"/>
    <x v="0"/>
    <x v="0"/>
    <x v="0"/>
    <x v="4"/>
    <x v="2"/>
    <x v="3"/>
    <x v="0"/>
    <x v="4"/>
    <x v="4"/>
    <x v="4"/>
    <x v="0"/>
  </r>
  <r>
    <x v="1"/>
    <x v="1"/>
    <x v="1"/>
    <x v="1"/>
    <x v="0"/>
    <x v="5"/>
    <x v="3"/>
    <x v="0"/>
    <x v="0"/>
    <x v="0"/>
    <x v="0"/>
    <x v="0"/>
    <x v="5"/>
    <x v="3"/>
    <x v="0"/>
    <x v="0"/>
    <x v="5"/>
    <x v="5"/>
    <x v="5"/>
    <x v="0"/>
  </r>
  <r>
    <x v="1"/>
    <x v="2"/>
    <x v="1"/>
    <x v="1"/>
    <x v="0"/>
    <x v="6"/>
    <x v="2"/>
    <x v="4"/>
    <x v="0"/>
    <x v="0"/>
    <x v="0"/>
    <x v="0"/>
    <x v="6"/>
    <x v="2"/>
    <x v="4"/>
    <x v="0"/>
    <x v="6"/>
    <x v="6"/>
    <x v="6"/>
    <x v="0"/>
  </r>
  <r>
    <x v="1"/>
    <x v="4"/>
    <x v="1"/>
    <x v="1"/>
    <x v="0"/>
    <x v="1"/>
    <x v="4"/>
    <x v="5"/>
    <x v="0"/>
    <x v="0"/>
    <x v="0"/>
    <x v="0"/>
    <x v="1"/>
    <x v="4"/>
    <x v="5"/>
    <x v="0"/>
    <x v="7"/>
    <x v="7"/>
    <x v="7"/>
    <x v="0"/>
  </r>
  <r>
    <x v="1"/>
    <x v="5"/>
    <x v="1"/>
    <x v="1"/>
    <x v="0"/>
    <x v="7"/>
    <x v="5"/>
    <x v="2"/>
    <x v="0"/>
    <x v="0"/>
    <x v="0"/>
    <x v="0"/>
    <x v="7"/>
    <x v="5"/>
    <x v="2"/>
    <x v="0"/>
    <x v="8"/>
    <x v="8"/>
    <x v="8"/>
    <x v="0"/>
  </r>
  <r>
    <x v="2"/>
    <x v="6"/>
    <x v="2"/>
    <x v="2"/>
    <x v="0"/>
    <x v="8"/>
    <x v="0"/>
    <x v="3"/>
    <x v="0"/>
    <x v="0"/>
    <x v="0"/>
    <x v="0"/>
    <x v="8"/>
    <x v="0"/>
    <x v="3"/>
    <x v="0"/>
    <x v="9"/>
    <x v="9"/>
    <x v="9"/>
    <x v="0"/>
  </r>
  <r>
    <x v="2"/>
    <x v="2"/>
    <x v="2"/>
    <x v="2"/>
    <x v="0"/>
    <x v="9"/>
    <x v="6"/>
    <x v="6"/>
    <x v="0"/>
    <x v="0"/>
    <x v="0"/>
    <x v="0"/>
    <x v="9"/>
    <x v="6"/>
    <x v="6"/>
    <x v="0"/>
    <x v="10"/>
    <x v="10"/>
    <x v="10"/>
    <x v="0"/>
  </r>
  <r>
    <x v="3"/>
    <x v="6"/>
    <x v="3"/>
    <x v="3"/>
    <x v="1"/>
    <x v="10"/>
    <x v="0"/>
    <x v="0"/>
    <x v="0"/>
    <x v="0"/>
    <x v="0"/>
    <x v="0"/>
    <x v="10"/>
    <x v="0"/>
    <x v="0"/>
    <x v="0"/>
    <x v="11"/>
    <x v="11"/>
    <x v="11"/>
    <x v="0"/>
  </r>
  <r>
    <x v="3"/>
    <x v="0"/>
    <x v="3"/>
    <x v="3"/>
    <x v="1"/>
    <x v="11"/>
    <x v="0"/>
    <x v="7"/>
    <x v="0"/>
    <x v="0"/>
    <x v="0"/>
    <x v="0"/>
    <x v="11"/>
    <x v="0"/>
    <x v="7"/>
    <x v="0"/>
    <x v="12"/>
    <x v="12"/>
    <x v="12"/>
    <x v="0"/>
  </r>
  <r>
    <x v="3"/>
    <x v="1"/>
    <x v="3"/>
    <x v="3"/>
    <x v="1"/>
    <x v="12"/>
    <x v="7"/>
    <x v="0"/>
    <x v="0"/>
    <x v="0"/>
    <x v="0"/>
    <x v="0"/>
    <x v="12"/>
    <x v="7"/>
    <x v="0"/>
    <x v="0"/>
    <x v="13"/>
    <x v="13"/>
    <x v="13"/>
    <x v="0"/>
  </r>
  <r>
    <x v="3"/>
    <x v="2"/>
    <x v="3"/>
    <x v="3"/>
    <x v="1"/>
    <x v="13"/>
    <x v="0"/>
    <x v="8"/>
    <x v="0"/>
    <x v="0"/>
    <x v="0"/>
    <x v="0"/>
    <x v="13"/>
    <x v="0"/>
    <x v="8"/>
    <x v="0"/>
    <x v="14"/>
    <x v="14"/>
    <x v="14"/>
    <x v="0"/>
  </r>
  <r>
    <x v="3"/>
    <x v="4"/>
    <x v="3"/>
    <x v="3"/>
    <x v="1"/>
    <x v="14"/>
    <x v="0"/>
    <x v="9"/>
    <x v="0"/>
    <x v="0"/>
    <x v="0"/>
    <x v="0"/>
    <x v="14"/>
    <x v="0"/>
    <x v="9"/>
    <x v="0"/>
    <x v="15"/>
    <x v="15"/>
    <x v="15"/>
    <x v="0"/>
  </r>
  <r>
    <x v="3"/>
    <x v="5"/>
    <x v="3"/>
    <x v="3"/>
    <x v="1"/>
    <x v="12"/>
    <x v="0"/>
    <x v="7"/>
    <x v="0"/>
    <x v="0"/>
    <x v="0"/>
    <x v="0"/>
    <x v="12"/>
    <x v="0"/>
    <x v="7"/>
    <x v="0"/>
    <x v="16"/>
    <x v="16"/>
    <x v="16"/>
    <x v="0"/>
  </r>
  <r>
    <x v="4"/>
    <x v="0"/>
    <x v="4"/>
    <x v="4"/>
    <x v="0"/>
    <x v="9"/>
    <x v="0"/>
    <x v="10"/>
    <x v="0"/>
    <x v="0"/>
    <x v="0"/>
    <x v="0"/>
    <x v="9"/>
    <x v="0"/>
    <x v="10"/>
    <x v="0"/>
    <x v="17"/>
    <x v="17"/>
    <x v="17"/>
    <x v="0"/>
  </r>
  <r>
    <x v="4"/>
    <x v="1"/>
    <x v="4"/>
    <x v="4"/>
    <x v="0"/>
    <x v="15"/>
    <x v="0"/>
    <x v="10"/>
    <x v="0"/>
    <x v="0"/>
    <x v="0"/>
    <x v="0"/>
    <x v="15"/>
    <x v="0"/>
    <x v="10"/>
    <x v="0"/>
    <x v="18"/>
    <x v="18"/>
    <x v="18"/>
    <x v="0"/>
  </r>
  <r>
    <x v="4"/>
    <x v="2"/>
    <x v="4"/>
    <x v="4"/>
    <x v="0"/>
    <x v="16"/>
    <x v="0"/>
    <x v="0"/>
    <x v="0"/>
    <x v="0"/>
    <x v="0"/>
    <x v="0"/>
    <x v="16"/>
    <x v="0"/>
    <x v="0"/>
    <x v="0"/>
    <x v="19"/>
    <x v="19"/>
    <x v="19"/>
    <x v="0"/>
  </r>
  <r>
    <x v="4"/>
    <x v="5"/>
    <x v="4"/>
    <x v="4"/>
    <x v="0"/>
    <x v="1"/>
    <x v="0"/>
    <x v="10"/>
    <x v="0"/>
    <x v="0"/>
    <x v="0"/>
    <x v="0"/>
    <x v="1"/>
    <x v="0"/>
    <x v="10"/>
    <x v="0"/>
    <x v="20"/>
    <x v="20"/>
    <x v="20"/>
    <x v="0"/>
  </r>
  <r>
    <x v="5"/>
    <x v="6"/>
    <x v="5"/>
    <x v="1"/>
    <x v="0"/>
    <x v="17"/>
    <x v="3"/>
    <x v="3"/>
    <x v="0"/>
    <x v="0"/>
    <x v="0"/>
    <x v="0"/>
    <x v="17"/>
    <x v="3"/>
    <x v="3"/>
    <x v="0"/>
    <x v="21"/>
    <x v="21"/>
    <x v="21"/>
    <x v="0"/>
  </r>
  <r>
    <x v="5"/>
    <x v="3"/>
    <x v="5"/>
    <x v="1"/>
    <x v="0"/>
    <x v="17"/>
    <x v="8"/>
    <x v="6"/>
    <x v="0"/>
    <x v="0"/>
    <x v="0"/>
    <x v="0"/>
    <x v="17"/>
    <x v="8"/>
    <x v="6"/>
    <x v="0"/>
    <x v="22"/>
    <x v="22"/>
    <x v="22"/>
    <x v="0"/>
  </r>
  <r>
    <x v="5"/>
    <x v="0"/>
    <x v="5"/>
    <x v="1"/>
    <x v="0"/>
    <x v="18"/>
    <x v="0"/>
    <x v="11"/>
    <x v="0"/>
    <x v="0"/>
    <x v="0"/>
    <x v="0"/>
    <x v="18"/>
    <x v="0"/>
    <x v="11"/>
    <x v="0"/>
    <x v="23"/>
    <x v="23"/>
    <x v="23"/>
    <x v="0"/>
  </r>
  <r>
    <x v="5"/>
    <x v="1"/>
    <x v="5"/>
    <x v="1"/>
    <x v="0"/>
    <x v="17"/>
    <x v="9"/>
    <x v="1"/>
    <x v="0"/>
    <x v="0"/>
    <x v="0"/>
    <x v="0"/>
    <x v="17"/>
    <x v="9"/>
    <x v="1"/>
    <x v="0"/>
    <x v="24"/>
    <x v="24"/>
    <x v="24"/>
    <x v="0"/>
  </r>
  <r>
    <x v="5"/>
    <x v="2"/>
    <x v="5"/>
    <x v="1"/>
    <x v="0"/>
    <x v="17"/>
    <x v="10"/>
    <x v="3"/>
    <x v="0"/>
    <x v="0"/>
    <x v="0"/>
    <x v="0"/>
    <x v="17"/>
    <x v="10"/>
    <x v="3"/>
    <x v="0"/>
    <x v="25"/>
    <x v="25"/>
    <x v="25"/>
    <x v="0"/>
  </r>
  <r>
    <x v="5"/>
    <x v="4"/>
    <x v="5"/>
    <x v="1"/>
    <x v="0"/>
    <x v="19"/>
    <x v="11"/>
    <x v="6"/>
    <x v="0"/>
    <x v="0"/>
    <x v="0"/>
    <x v="0"/>
    <x v="19"/>
    <x v="11"/>
    <x v="6"/>
    <x v="0"/>
    <x v="26"/>
    <x v="26"/>
    <x v="26"/>
    <x v="0"/>
  </r>
  <r>
    <x v="5"/>
    <x v="5"/>
    <x v="5"/>
    <x v="1"/>
    <x v="0"/>
    <x v="17"/>
    <x v="8"/>
    <x v="1"/>
    <x v="0"/>
    <x v="0"/>
    <x v="0"/>
    <x v="0"/>
    <x v="17"/>
    <x v="8"/>
    <x v="1"/>
    <x v="0"/>
    <x v="27"/>
    <x v="27"/>
    <x v="27"/>
    <x v="0"/>
  </r>
  <r>
    <x v="6"/>
    <x v="6"/>
    <x v="6"/>
    <x v="5"/>
    <x v="0"/>
    <x v="17"/>
    <x v="6"/>
    <x v="8"/>
    <x v="0"/>
    <x v="0"/>
    <x v="0"/>
    <x v="0"/>
    <x v="17"/>
    <x v="6"/>
    <x v="8"/>
    <x v="0"/>
    <x v="28"/>
    <x v="28"/>
    <x v="28"/>
    <x v="0"/>
  </r>
  <r>
    <x v="6"/>
    <x v="3"/>
    <x v="6"/>
    <x v="5"/>
    <x v="0"/>
    <x v="20"/>
    <x v="0"/>
    <x v="11"/>
    <x v="0"/>
    <x v="0"/>
    <x v="0"/>
    <x v="0"/>
    <x v="20"/>
    <x v="0"/>
    <x v="11"/>
    <x v="0"/>
    <x v="29"/>
    <x v="29"/>
    <x v="29"/>
    <x v="0"/>
  </r>
  <r>
    <x v="6"/>
    <x v="0"/>
    <x v="6"/>
    <x v="5"/>
    <x v="0"/>
    <x v="21"/>
    <x v="12"/>
    <x v="6"/>
    <x v="0"/>
    <x v="0"/>
    <x v="0"/>
    <x v="0"/>
    <x v="21"/>
    <x v="12"/>
    <x v="6"/>
    <x v="0"/>
    <x v="30"/>
    <x v="30"/>
    <x v="30"/>
    <x v="0"/>
  </r>
  <r>
    <x v="6"/>
    <x v="1"/>
    <x v="6"/>
    <x v="5"/>
    <x v="0"/>
    <x v="22"/>
    <x v="0"/>
    <x v="11"/>
    <x v="0"/>
    <x v="0"/>
    <x v="0"/>
    <x v="0"/>
    <x v="22"/>
    <x v="0"/>
    <x v="11"/>
    <x v="0"/>
    <x v="31"/>
    <x v="31"/>
    <x v="31"/>
    <x v="0"/>
  </r>
  <r>
    <x v="6"/>
    <x v="2"/>
    <x v="6"/>
    <x v="5"/>
    <x v="0"/>
    <x v="23"/>
    <x v="0"/>
    <x v="1"/>
    <x v="0"/>
    <x v="0"/>
    <x v="0"/>
    <x v="0"/>
    <x v="23"/>
    <x v="0"/>
    <x v="1"/>
    <x v="0"/>
    <x v="32"/>
    <x v="32"/>
    <x v="32"/>
    <x v="0"/>
  </r>
  <r>
    <x v="6"/>
    <x v="4"/>
    <x v="6"/>
    <x v="5"/>
    <x v="0"/>
    <x v="23"/>
    <x v="13"/>
    <x v="10"/>
    <x v="0"/>
    <x v="0"/>
    <x v="0"/>
    <x v="0"/>
    <x v="23"/>
    <x v="13"/>
    <x v="10"/>
    <x v="0"/>
    <x v="33"/>
    <x v="33"/>
    <x v="33"/>
    <x v="0"/>
  </r>
  <r>
    <x v="7"/>
    <x v="6"/>
    <x v="7"/>
    <x v="6"/>
    <x v="0"/>
    <x v="10"/>
    <x v="0"/>
    <x v="12"/>
    <x v="0"/>
    <x v="1"/>
    <x v="0"/>
    <x v="0"/>
    <x v="24"/>
    <x v="0"/>
    <x v="12"/>
    <x v="0"/>
    <x v="34"/>
    <x v="34"/>
    <x v="34"/>
    <x v="0"/>
  </r>
  <r>
    <x v="7"/>
    <x v="3"/>
    <x v="7"/>
    <x v="6"/>
    <x v="0"/>
    <x v="24"/>
    <x v="0"/>
    <x v="9"/>
    <x v="0"/>
    <x v="1"/>
    <x v="0"/>
    <x v="0"/>
    <x v="25"/>
    <x v="0"/>
    <x v="9"/>
    <x v="0"/>
    <x v="35"/>
    <x v="35"/>
    <x v="35"/>
    <x v="0"/>
  </r>
  <r>
    <x v="7"/>
    <x v="1"/>
    <x v="7"/>
    <x v="6"/>
    <x v="0"/>
    <x v="25"/>
    <x v="4"/>
    <x v="13"/>
    <x v="0"/>
    <x v="1"/>
    <x v="0"/>
    <x v="0"/>
    <x v="26"/>
    <x v="4"/>
    <x v="13"/>
    <x v="0"/>
    <x v="36"/>
    <x v="36"/>
    <x v="36"/>
    <x v="0"/>
  </r>
  <r>
    <x v="7"/>
    <x v="2"/>
    <x v="7"/>
    <x v="6"/>
    <x v="0"/>
    <x v="26"/>
    <x v="14"/>
    <x v="2"/>
    <x v="0"/>
    <x v="1"/>
    <x v="0"/>
    <x v="0"/>
    <x v="27"/>
    <x v="14"/>
    <x v="2"/>
    <x v="0"/>
    <x v="37"/>
    <x v="37"/>
    <x v="37"/>
    <x v="0"/>
  </r>
  <r>
    <x v="7"/>
    <x v="4"/>
    <x v="7"/>
    <x v="6"/>
    <x v="0"/>
    <x v="27"/>
    <x v="5"/>
    <x v="0"/>
    <x v="0"/>
    <x v="1"/>
    <x v="0"/>
    <x v="0"/>
    <x v="28"/>
    <x v="5"/>
    <x v="0"/>
    <x v="0"/>
    <x v="38"/>
    <x v="38"/>
    <x v="38"/>
    <x v="0"/>
  </r>
  <r>
    <x v="7"/>
    <x v="5"/>
    <x v="7"/>
    <x v="6"/>
    <x v="0"/>
    <x v="28"/>
    <x v="3"/>
    <x v="14"/>
    <x v="0"/>
    <x v="1"/>
    <x v="0"/>
    <x v="0"/>
    <x v="29"/>
    <x v="3"/>
    <x v="14"/>
    <x v="0"/>
    <x v="39"/>
    <x v="39"/>
    <x v="39"/>
    <x v="0"/>
  </r>
  <r>
    <x v="8"/>
    <x v="6"/>
    <x v="8"/>
    <x v="7"/>
    <x v="2"/>
    <x v="29"/>
    <x v="0"/>
    <x v="15"/>
    <x v="0"/>
    <x v="0"/>
    <x v="0"/>
    <x v="0"/>
    <x v="30"/>
    <x v="0"/>
    <x v="15"/>
    <x v="0"/>
    <x v="40"/>
    <x v="40"/>
    <x v="40"/>
    <x v="0"/>
  </r>
  <r>
    <x v="8"/>
    <x v="3"/>
    <x v="8"/>
    <x v="7"/>
    <x v="2"/>
    <x v="30"/>
    <x v="0"/>
    <x v="12"/>
    <x v="0"/>
    <x v="0"/>
    <x v="0"/>
    <x v="0"/>
    <x v="31"/>
    <x v="0"/>
    <x v="12"/>
    <x v="0"/>
    <x v="41"/>
    <x v="41"/>
    <x v="41"/>
    <x v="0"/>
  </r>
  <r>
    <x v="8"/>
    <x v="0"/>
    <x v="8"/>
    <x v="7"/>
    <x v="2"/>
    <x v="17"/>
    <x v="0"/>
    <x v="11"/>
    <x v="0"/>
    <x v="0"/>
    <x v="0"/>
    <x v="0"/>
    <x v="17"/>
    <x v="0"/>
    <x v="11"/>
    <x v="0"/>
    <x v="42"/>
    <x v="42"/>
    <x v="42"/>
    <x v="0"/>
  </r>
  <r>
    <x v="8"/>
    <x v="1"/>
    <x v="8"/>
    <x v="7"/>
    <x v="2"/>
    <x v="31"/>
    <x v="0"/>
    <x v="12"/>
    <x v="0"/>
    <x v="0"/>
    <x v="0"/>
    <x v="0"/>
    <x v="32"/>
    <x v="0"/>
    <x v="12"/>
    <x v="0"/>
    <x v="43"/>
    <x v="43"/>
    <x v="43"/>
    <x v="0"/>
  </r>
  <r>
    <x v="8"/>
    <x v="2"/>
    <x v="8"/>
    <x v="7"/>
    <x v="2"/>
    <x v="32"/>
    <x v="0"/>
    <x v="3"/>
    <x v="0"/>
    <x v="0"/>
    <x v="0"/>
    <x v="0"/>
    <x v="33"/>
    <x v="0"/>
    <x v="3"/>
    <x v="0"/>
    <x v="44"/>
    <x v="44"/>
    <x v="44"/>
    <x v="0"/>
  </r>
  <r>
    <x v="8"/>
    <x v="4"/>
    <x v="8"/>
    <x v="7"/>
    <x v="2"/>
    <x v="33"/>
    <x v="0"/>
    <x v="1"/>
    <x v="0"/>
    <x v="0"/>
    <x v="0"/>
    <x v="0"/>
    <x v="34"/>
    <x v="0"/>
    <x v="1"/>
    <x v="0"/>
    <x v="45"/>
    <x v="45"/>
    <x v="45"/>
    <x v="0"/>
  </r>
  <r>
    <x v="9"/>
    <x v="6"/>
    <x v="9"/>
    <x v="8"/>
    <x v="0"/>
    <x v="29"/>
    <x v="0"/>
    <x v="13"/>
    <x v="0"/>
    <x v="0"/>
    <x v="0"/>
    <x v="0"/>
    <x v="30"/>
    <x v="0"/>
    <x v="13"/>
    <x v="0"/>
    <x v="46"/>
    <x v="46"/>
    <x v="46"/>
    <x v="0"/>
  </r>
  <r>
    <x v="9"/>
    <x v="3"/>
    <x v="9"/>
    <x v="8"/>
    <x v="0"/>
    <x v="17"/>
    <x v="0"/>
    <x v="11"/>
    <x v="0"/>
    <x v="0"/>
    <x v="0"/>
    <x v="0"/>
    <x v="17"/>
    <x v="0"/>
    <x v="11"/>
    <x v="0"/>
    <x v="42"/>
    <x v="42"/>
    <x v="42"/>
    <x v="0"/>
  </r>
  <r>
    <x v="9"/>
    <x v="0"/>
    <x v="9"/>
    <x v="8"/>
    <x v="0"/>
    <x v="24"/>
    <x v="0"/>
    <x v="9"/>
    <x v="0"/>
    <x v="0"/>
    <x v="0"/>
    <x v="0"/>
    <x v="35"/>
    <x v="0"/>
    <x v="9"/>
    <x v="0"/>
    <x v="47"/>
    <x v="47"/>
    <x v="47"/>
    <x v="0"/>
  </r>
  <r>
    <x v="9"/>
    <x v="1"/>
    <x v="9"/>
    <x v="8"/>
    <x v="0"/>
    <x v="10"/>
    <x v="0"/>
    <x v="0"/>
    <x v="0"/>
    <x v="0"/>
    <x v="0"/>
    <x v="0"/>
    <x v="10"/>
    <x v="0"/>
    <x v="0"/>
    <x v="0"/>
    <x v="11"/>
    <x v="11"/>
    <x v="11"/>
    <x v="0"/>
  </r>
  <r>
    <x v="9"/>
    <x v="2"/>
    <x v="9"/>
    <x v="8"/>
    <x v="0"/>
    <x v="34"/>
    <x v="0"/>
    <x v="7"/>
    <x v="0"/>
    <x v="0"/>
    <x v="0"/>
    <x v="0"/>
    <x v="36"/>
    <x v="0"/>
    <x v="7"/>
    <x v="0"/>
    <x v="48"/>
    <x v="48"/>
    <x v="48"/>
    <x v="0"/>
  </r>
  <r>
    <x v="9"/>
    <x v="4"/>
    <x v="9"/>
    <x v="8"/>
    <x v="0"/>
    <x v="35"/>
    <x v="0"/>
    <x v="6"/>
    <x v="0"/>
    <x v="0"/>
    <x v="0"/>
    <x v="0"/>
    <x v="37"/>
    <x v="0"/>
    <x v="6"/>
    <x v="0"/>
    <x v="49"/>
    <x v="49"/>
    <x v="49"/>
    <x v="0"/>
  </r>
  <r>
    <x v="9"/>
    <x v="5"/>
    <x v="9"/>
    <x v="8"/>
    <x v="0"/>
    <x v="31"/>
    <x v="0"/>
    <x v="1"/>
    <x v="0"/>
    <x v="0"/>
    <x v="0"/>
    <x v="0"/>
    <x v="32"/>
    <x v="0"/>
    <x v="1"/>
    <x v="0"/>
    <x v="50"/>
    <x v="50"/>
    <x v="50"/>
    <x v="0"/>
  </r>
  <r>
    <x v="10"/>
    <x v="6"/>
    <x v="10"/>
    <x v="6"/>
    <x v="0"/>
    <x v="36"/>
    <x v="0"/>
    <x v="6"/>
    <x v="0"/>
    <x v="0"/>
    <x v="0"/>
    <x v="0"/>
    <x v="38"/>
    <x v="0"/>
    <x v="6"/>
    <x v="0"/>
    <x v="51"/>
    <x v="51"/>
    <x v="51"/>
    <x v="0"/>
  </r>
  <r>
    <x v="11"/>
    <x v="6"/>
    <x v="11"/>
    <x v="9"/>
    <x v="0"/>
    <x v="31"/>
    <x v="0"/>
    <x v="7"/>
    <x v="0"/>
    <x v="0"/>
    <x v="0"/>
    <x v="0"/>
    <x v="32"/>
    <x v="0"/>
    <x v="7"/>
    <x v="0"/>
    <x v="52"/>
    <x v="52"/>
    <x v="52"/>
    <x v="0"/>
  </r>
  <r>
    <x v="11"/>
    <x v="3"/>
    <x v="11"/>
    <x v="9"/>
    <x v="0"/>
    <x v="14"/>
    <x v="0"/>
    <x v="12"/>
    <x v="0"/>
    <x v="0"/>
    <x v="0"/>
    <x v="0"/>
    <x v="14"/>
    <x v="0"/>
    <x v="12"/>
    <x v="0"/>
    <x v="53"/>
    <x v="53"/>
    <x v="53"/>
    <x v="0"/>
  </r>
  <r>
    <x v="11"/>
    <x v="0"/>
    <x v="11"/>
    <x v="9"/>
    <x v="0"/>
    <x v="37"/>
    <x v="0"/>
    <x v="9"/>
    <x v="0"/>
    <x v="0"/>
    <x v="0"/>
    <x v="0"/>
    <x v="39"/>
    <x v="0"/>
    <x v="9"/>
    <x v="0"/>
    <x v="54"/>
    <x v="54"/>
    <x v="54"/>
    <x v="0"/>
  </r>
  <r>
    <x v="11"/>
    <x v="1"/>
    <x v="11"/>
    <x v="9"/>
    <x v="0"/>
    <x v="35"/>
    <x v="0"/>
    <x v="8"/>
    <x v="0"/>
    <x v="0"/>
    <x v="0"/>
    <x v="0"/>
    <x v="37"/>
    <x v="0"/>
    <x v="8"/>
    <x v="0"/>
    <x v="55"/>
    <x v="55"/>
    <x v="55"/>
    <x v="0"/>
  </r>
  <r>
    <x v="11"/>
    <x v="2"/>
    <x v="11"/>
    <x v="9"/>
    <x v="0"/>
    <x v="16"/>
    <x v="0"/>
    <x v="16"/>
    <x v="0"/>
    <x v="0"/>
    <x v="0"/>
    <x v="0"/>
    <x v="16"/>
    <x v="0"/>
    <x v="16"/>
    <x v="0"/>
    <x v="56"/>
    <x v="56"/>
    <x v="56"/>
    <x v="0"/>
  </r>
  <r>
    <x v="11"/>
    <x v="4"/>
    <x v="11"/>
    <x v="9"/>
    <x v="0"/>
    <x v="38"/>
    <x v="0"/>
    <x v="0"/>
    <x v="0"/>
    <x v="0"/>
    <x v="0"/>
    <x v="0"/>
    <x v="40"/>
    <x v="0"/>
    <x v="0"/>
    <x v="0"/>
    <x v="33"/>
    <x v="33"/>
    <x v="33"/>
    <x v="0"/>
  </r>
  <r>
    <x v="11"/>
    <x v="5"/>
    <x v="11"/>
    <x v="9"/>
    <x v="0"/>
    <x v="17"/>
    <x v="0"/>
    <x v="11"/>
    <x v="0"/>
    <x v="0"/>
    <x v="0"/>
    <x v="0"/>
    <x v="17"/>
    <x v="0"/>
    <x v="11"/>
    <x v="0"/>
    <x v="42"/>
    <x v="42"/>
    <x v="42"/>
    <x v="0"/>
  </r>
  <r>
    <x v="12"/>
    <x v="6"/>
    <x v="12"/>
    <x v="8"/>
    <x v="0"/>
    <x v="39"/>
    <x v="0"/>
    <x v="0"/>
    <x v="0"/>
    <x v="0"/>
    <x v="0"/>
    <x v="0"/>
    <x v="41"/>
    <x v="0"/>
    <x v="0"/>
    <x v="0"/>
    <x v="57"/>
    <x v="57"/>
    <x v="57"/>
    <x v="0"/>
  </r>
  <r>
    <x v="12"/>
    <x v="3"/>
    <x v="12"/>
    <x v="8"/>
    <x v="0"/>
    <x v="23"/>
    <x v="0"/>
    <x v="6"/>
    <x v="0"/>
    <x v="0"/>
    <x v="0"/>
    <x v="0"/>
    <x v="23"/>
    <x v="0"/>
    <x v="6"/>
    <x v="0"/>
    <x v="58"/>
    <x v="58"/>
    <x v="58"/>
    <x v="0"/>
  </r>
  <r>
    <x v="12"/>
    <x v="1"/>
    <x v="12"/>
    <x v="8"/>
    <x v="0"/>
    <x v="40"/>
    <x v="0"/>
    <x v="1"/>
    <x v="0"/>
    <x v="0"/>
    <x v="0"/>
    <x v="0"/>
    <x v="42"/>
    <x v="0"/>
    <x v="1"/>
    <x v="0"/>
    <x v="59"/>
    <x v="59"/>
    <x v="59"/>
    <x v="0"/>
  </r>
  <r>
    <x v="12"/>
    <x v="2"/>
    <x v="12"/>
    <x v="8"/>
    <x v="0"/>
    <x v="4"/>
    <x v="0"/>
    <x v="8"/>
    <x v="0"/>
    <x v="0"/>
    <x v="0"/>
    <x v="0"/>
    <x v="4"/>
    <x v="0"/>
    <x v="8"/>
    <x v="0"/>
    <x v="60"/>
    <x v="60"/>
    <x v="60"/>
    <x v="0"/>
  </r>
  <r>
    <x v="12"/>
    <x v="4"/>
    <x v="12"/>
    <x v="8"/>
    <x v="0"/>
    <x v="41"/>
    <x v="0"/>
    <x v="1"/>
    <x v="0"/>
    <x v="0"/>
    <x v="0"/>
    <x v="0"/>
    <x v="43"/>
    <x v="0"/>
    <x v="1"/>
    <x v="0"/>
    <x v="61"/>
    <x v="61"/>
    <x v="61"/>
    <x v="0"/>
  </r>
  <r>
    <x v="13"/>
    <x v="6"/>
    <x v="13"/>
    <x v="8"/>
    <x v="0"/>
    <x v="16"/>
    <x v="0"/>
    <x v="14"/>
    <x v="0"/>
    <x v="0"/>
    <x v="0"/>
    <x v="0"/>
    <x v="16"/>
    <x v="0"/>
    <x v="14"/>
    <x v="0"/>
    <x v="62"/>
    <x v="62"/>
    <x v="62"/>
    <x v="0"/>
  </r>
  <r>
    <x v="13"/>
    <x v="3"/>
    <x v="13"/>
    <x v="8"/>
    <x v="0"/>
    <x v="38"/>
    <x v="0"/>
    <x v="1"/>
    <x v="0"/>
    <x v="0"/>
    <x v="0"/>
    <x v="0"/>
    <x v="40"/>
    <x v="0"/>
    <x v="1"/>
    <x v="0"/>
    <x v="63"/>
    <x v="63"/>
    <x v="63"/>
    <x v="0"/>
  </r>
  <r>
    <x v="13"/>
    <x v="0"/>
    <x v="13"/>
    <x v="8"/>
    <x v="0"/>
    <x v="3"/>
    <x v="0"/>
    <x v="10"/>
    <x v="0"/>
    <x v="0"/>
    <x v="0"/>
    <x v="0"/>
    <x v="3"/>
    <x v="0"/>
    <x v="10"/>
    <x v="0"/>
    <x v="64"/>
    <x v="64"/>
    <x v="64"/>
    <x v="0"/>
  </r>
  <r>
    <x v="13"/>
    <x v="2"/>
    <x v="13"/>
    <x v="8"/>
    <x v="0"/>
    <x v="28"/>
    <x v="0"/>
    <x v="3"/>
    <x v="0"/>
    <x v="0"/>
    <x v="0"/>
    <x v="0"/>
    <x v="44"/>
    <x v="0"/>
    <x v="3"/>
    <x v="0"/>
    <x v="65"/>
    <x v="65"/>
    <x v="65"/>
    <x v="0"/>
  </r>
  <r>
    <x v="13"/>
    <x v="4"/>
    <x v="13"/>
    <x v="8"/>
    <x v="0"/>
    <x v="40"/>
    <x v="0"/>
    <x v="1"/>
    <x v="0"/>
    <x v="0"/>
    <x v="0"/>
    <x v="0"/>
    <x v="42"/>
    <x v="0"/>
    <x v="1"/>
    <x v="0"/>
    <x v="59"/>
    <x v="59"/>
    <x v="59"/>
    <x v="0"/>
  </r>
  <r>
    <x v="13"/>
    <x v="5"/>
    <x v="13"/>
    <x v="8"/>
    <x v="0"/>
    <x v="42"/>
    <x v="0"/>
    <x v="11"/>
    <x v="0"/>
    <x v="0"/>
    <x v="0"/>
    <x v="0"/>
    <x v="45"/>
    <x v="0"/>
    <x v="11"/>
    <x v="0"/>
    <x v="66"/>
    <x v="66"/>
    <x v="66"/>
    <x v="0"/>
  </r>
  <r>
    <x v="14"/>
    <x v="6"/>
    <x v="14"/>
    <x v="8"/>
    <x v="0"/>
    <x v="19"/>
    <x v="0"/>
    <x v="11"/>
    <x v="0"/>
    <x v="0"/>
    <x v="0"/>
    <x v="0"/>
    <x v="19"/>
    <x v="0"/>
    <x v="11"/>
    <x v="0"/>
    <x v="67"/>
    <x v="67"/>
    <x v="67"/>
    <x v="0"/>
  </r>
  <r>
    <x v="15"/>
    <x v="3"/>
    <x v="15"/>
    <x v="8"/>
    <x v="0"/>
    <x v="17"/>
    <x v="0"/>
    <x v="11"/>
    <x v="0"/>
    <x v="0"/>
    <x v="0"/>
    <x v="0"/>
    <x v="17"/>
    <x v="0"/>
    <x v="11"/>
    <x v="0"/>
    <x v="42"/>
    <x v="42"/>
    <x v="42"/>
    <x v="0"/>
  </r>
  <r>
    <x v="15"/>
    <x v="1"/>
    <x v="15"/>
    <x v="8"/>
    <x v="0"/>
    <x v="43"/>
    <x v="0"/>
    <x v="8"/>
    <x v="0"/>
    <x v="0"/>
    <x v="0"/>
    <x v="0"/>
    <x v="46"/>
    <x v="0"/>
    <x v="8"/>
    <x v="0"/>
    <x v="68"/>
    <x v="68"/>
    <x v="68"/>
    <x v="0"/>
  </r>
  <r>
    <x v="16"/>
    <x v="6"/>
    <x v="16"/>
    <x v="10"/>
    <x v="3"/>
    <x v="6"/>
    <x v="0"/>
    <x v="10"/>
    <x v="0"/>
    <x v="0"/>
    <x v="0"/>
    <x v="0"/>
    <x v="6"/>
    <x v="0"/>
    <x v="10"/>
    <x v="0"/>
    <x v="69"/>
    <x v="69"/>
    <x v="69"/>
    <x v="0"/>
  </r>
  <r>
    <x v="16"/>
    <x v="3"/>
    <x v="16"/>
    <x v="10"/>
    <x v="3"/>
    <x v="8"/>
    <x v="8"/>
    <x v="0"/>
    <x v="0"/>
    <x v="0"/>
    <x v="0"/>
    <x v="0"/>
    <x v="8"/>
    <x v="8"/>
    <x v="0"/>
    <x v="0"/>
    <x v="70"/>
    <x v="70"/>
    <x v="70"/>
    <x v="0"/>
  </r>
  <r>
    <x v="16"/>
    <x v="0"/>
    <x v="16"/>
    <x v="10"/>
    <x v="3"/>
    <x v="1"/>
    <x v="9"/>
    <x v="14"/>
    <x v="0"/>
    <x v="0"/>
    <x v="0"/>
    <x v="0"/>
    <x v="1"/>
    <x v="9"/>
    <x v="14"/>
    <x v="0"/>
    <x v="71"/>
    <x v="71"/>
    <x v="71"/>
    <x v="0"/>
  </r>
  <r>
    <x v="16"/>
    <x v="1"/>
    <x v="16"/>
    <x v="10"/>
    <x v="3"/>
    <x v="37"/>
    <x v="10"/>
    <x v="2"/>
    <x v="0"/>
    <x v="0"/>
    <x v="0"/>
    <x v="0"/>
    <x v="39"/>
    <x v="10"/>
    <x v="2"/>
    <x v="0"/>
    <x v="72"/>
    <x v="72"/>
    <x v="72"/>
    <x v="0"/>
  </r>
  <r>
    <x v="16"/>
    <x v="2"/>
    <x v="16"/>
    <x v="10"/>
    <x v="3"/>
    <x v="37"/>
    <x v="0"/>
    <x v="3"/>
    <x v="0"/>
    <x v="0"/>
    <x v="0"/>
    <x v="0"/>
    <x v="39"/>
    <x v="0"/>
    <x v="3"/>
    <x v="0"/>
    <x v="73"/>
    <x v="73"/>
    <x v="73"/>
    <x v="0"/>
  </r>
  <r>
    <x v="16"/>
    <x v="4"/>
    <x v="16"/>
    <x v="10"/>
    <x v="3"/>
    <x v="39"/>
    <x v="0"/>
    <x v="8"/>
    <x v="0"/>
    <x v="0"/>
    <x v="0"/>
    <x v="0"/>
    <x v="41"/>
    <x v="0"/>
    <x v="8"/>
    <x v="0"/>
    <x v="74"/>
    <x v="74"/>
    <x v="74"/>
    <x v="0"/>
  </r>
  <r>
    <x v="16"/>
    <x v="5"/>
    <x v="16"/>
    <x v="10"/>
    <x v="3"/>
    <x v="42"/>
    <x v="0"/>
    <x v="7"/>
    <x v="0"/>
    <x v="0"/>
    <x v="0"/>
    <x v="0"/>
    <x v="45"/>
    <x v="0"/>
    <x v="7"/>
    <x v="0"/>
    <x v="75"/>
    <x v="75"/>
    <x v="75"/>
    <x v="0"/>
  </r>
  <r>
    <x v="17"/>
    <x v="4"/>
    <x v="17"/>
    <x v="11"/>
    <x v="0"/>
    <x v="17"/>
    <x v="0"/>
    <x v="11"/>
    <x v="0"/>
    <x v="0"/>
    <x v="0"/>
    <x v="0"/>
    <x v="17"/>
    <x v="0"/>
    <x v="11"/>
    <x v="0"/>
    <x v="42"/>
    <x v="42"/>
    <x v="42"/>
    <x v="0"/>
  </r>
  <r>
    <x v="18"/>
    <x v="6"/>
    <x v="18"/>
    <x v="12"/>
    <x v="0"/>
    <x v="37"/>
    <x v="15"/>
    <x v="3"/>
    <x v="0"/>
    <x v="0"/>
    <x v="0"/>
    <x v="0"/>
    <x v="39"/>
    <x v="15"/>
    <x v="3"/>
    <x v="0"/>
    <x v="76"/>
    <x v="76"/>
    <x v="76"/>
    <x v="0"/>
  </r>
  <r>
    <x v="18"/>
    <x v="3"/>
    <x v="18"/>
    <x v="12"/>
    <x v="0"/>
    <x v="44"/>
    <x v="0"/>
    <x v="17"/>
    <x v="0"/>
    <x v="0"/>
    <x v="0"/>
    <x v="0"/>
    <x v="47"/>
    <x v="0"/>
    <x v="17"/>
    <x v="0"/>
    <x v="77"/>
    <x v="77"/>
    <x v="77"/>
    <x v="0"/>
  </r>
  <r>
    <x v="18"/>
    <x v="1"/>
    <x v="18"/>
    <x v="12"/>
    <x v="0"/>
    <x v="45"/>
    <x v="16"/>
    <x v="18"/>
    <x v="0"/>
    <x v="0"/>
    <x v="0"/>
    <x v="0"/>
    <x v="48"/>
    <x v="16"/>
    <x v="18"/>
    <x v="0"/>
    <x v="78"/>
    <x v="78"/>
    <x v="78"/>
    <x v="0"/>
  </r>
  <r>
    <x v="18"/>
    <x v="2"/>
    <x v="18"/>
    <x v="12"/>
    <x v="0"/>
    <x v="0"/>
    <x v="16"/>
    <x v="10"/>
    <x v="0"/>
    <x v="0"/>
    <x v="0"/>
    <x v="0"/>
    <x v="0"/>
    <x v="16"/>
    <x v="10"/>
    <x v="0"/>
    <x v="79"/>
    <x v="79"/>
    <x v="79"/>
    <x v="0"/>
  </r>
  <r>
    <x v="18"/>
    <x v="4"/>
    <x v="18"/>
    <x v="12"/>
    <x v="0"/>
    <x v="35"/>
    <x v="17"/>
    <x v="3"/>
    <x v="0"/>
    <x v="0"/>
    <x v="0"/>
    <x v="0"/>
    <x v="37"/>
    <x v="17"/>
    <x v="3"/>
    <x v="0"/>
    <x v="80"/>
    <x v="80"/>
    <x v="80"/>
    <x v="0"/>
  </r>
  <r>
    <x v="18"/>
    <x v="5"/>
    <x v="18"/>
    <x v="12"/>
    <x v="0"/>
    <x v="11"/>
    <x v="0"/>
    <x v="14"/>
    <x v="0"/>
    <x v="0"/>
    <x v="0"/>
    <x v="0"/>
    <x v="11"/>
    <x v="0"/>
    <x v="14"/>
    <x v="0"/>
    <x v="81"/>
    <x v="81"/>
    <x v="81"/>
    <x v="0"/>
  </r>
  <r>
    <x v="19"/>
    <x v="6"/>
    <x v="19"/>
    <x v="1"/>
    <x v="0"/>
    <x v="41"/>
    <x v="0"/>
    <x v="8"/>
    <x v="0"/>
    <x v="0"/>
    <x v="0"/>
    <x v="0"/>
    <x v="43"/>
    <x v="0"/>
    <x v="8"/>
    <x v="0"/>
    <x v="82"/>
    <x v="82"/>
    <x v="82"/>
    <x v="0"/>
  </r>
  <r>
    <x v="19"/>
    <x v="3"/>
    <x v="19"/>
    <x v="1"/>
    <x v="0"/>
    <x v="46"/>
    <x v="0"/>
    <x v="10"/>
    <x v="0"/>
    <x v="0"/>
    <x v="0"/>
    <x v="0"/>
    <x v="49"/>
    <x v="0"/>
    <x v="10"/>
    <x v="0"/>
    <x v="83"/>
    <x v="83"/>
    <x v="83"/>
    <x v="0"/>
  </r>
  <r>
    <x v="19"/>
    <x v="0"/>
    <x v="19"/>
    <x v="1"/>
    <x v="0"/>
    <x v="41"/>
    <x v="0"/>
    <x v="10"/>
    <x v="0"/>
    <x v="0"/>
    <x v="0"/>
    <x v="0"/>
    <x v="43"/>
    <x v="0"/>
    <x v="10"/>
    <x v="0"/>
    <x v="84"/>
    <x v="84"/>
    <x v="84"/>
    <x v="0"/>
  </r>
  <r>
    <x v="19"/>
    <x v="1"/>
    <x v="19"/>
    <x v="1"/>
    <x v="0"/>
    <x v="0"/>
    <x v="0"/>
    <x v="1"/>
    <x v="0"/>
    <x v="0"/>
    <x v="0"/>
    <x v="0"/>
    <x v="0"/>
    <x v="0"/>
    <x v="1"/>
    <x v="0"/>
    <x v="85"/>
    <x v="85"/>
    <x v="85"/>
    <x v="0"/>
  </r>
  <r>
    <x v="19"/>
    <x v="2"/>
    <x v="19"/>
    <x v="1"/>
    <x v="0"/>
    <x v="47"/>
    <x v="0"/>
    <x v="1"/>
    <x v="0"/>
    <x v="0"/>
    <x v="0"/>
    <x v="0"/>
    <x v="50"/>
    <x v="0"/>
    <x v="1"/>
    <x v="0"/>
    <x v="86"/>
    <x v="86"/>
    <x v="86"/>
    <x v="0"/>
  </r>
  <r>
    <x v="20"/>
    <x v="2"/>
    <x v="20"/>
    <x v="9"/>
    <x v="0"/>
    <x v="9"/>
    <x v="0"/>
    <x v="6"/>
    <x v="0"/>
    <x v="0"/>
    <x v="0"/>
    <x v="0"/>
    <x v="9"/>
    <x v="0"/>
    <x v="6"/>
    <x v="0"/>
    <x v="87"/>
    <x v="87"/>
    <x v="87"/>
    <x v="0"/>
  </r>
  <r>
    <x v="20"/>
    <x v="4"/>
    <x v="20"/>
    <x v="9"/>
    <x v="0"/>
    <x v="22"/>
    <x v="0"/>
    <x v="10"/>
    <x v="0"/>
    <x v="0"/>
    <x v="0"/>
    <x v="0"/>
    <x v="22"/>
    <x v="0"/>
    <x v="10"/>
    <x v="0"/>
    <x v="88"/>
    <x v="88"/>
    <x v="88"/>
    <x v="0"/>
  </r>
  <r>
    <x v="20"/>
    <x v="5"/>
    <x v="20"/>
    <x v="9"/>
    <x v="0"/>
    <x v="48"/>
    <x v="0"/>
    <x v="11"/>
    <x v="0"/>
    <x v="0"/>
    <x v="0"/>
    <x v="0"/>
    <x v="51"/>
    <x v="0"/>
    <x v="11"/>
    <x v="0"/>
    <x v="89"/>
    <x v="89"/>
    <x v="89"/>
    <x v="0"/>
  </r>
  <r>
    <x v="21"/>
    <x v="6"/>
    <x v="21"/>
    <x v="4"/>
    <x v="0"/>
    <x v="17"/>
    <x v="13"/>
    <x v="6"/>
    <x v="0"/>
    <x v="0"/>
    <x v="0"/>
    <x v="0"/>
    <x v="17"/>
    <x v="13"/>
    <x v="6"/>
    <x v="0"/>
    <x v="90"/>
    <x v="90"/>
    <x v="90"/>
    <x v="0"/>
  </r>
  <r>
    <x v="21"/>
    <x v="3"/>
    <x v="21"/>
    <x v="4"/>
    <x v="0"/>
    <x v="49"/>
    <x v="10"/>
    <x v="6"/>
    <x v="0"/>
    <x v="0"/>
    <x v="0"/>
    <x v="0"/>
    <x v="52"/>
    <x v="10"/>
    <x v="6"/>
    <x v="0"/>
    <x v="91"/>
    <x v="91"/>
    <x v="91"/>
    <x v="0"/>
  </r>
  <r>
    <x v="21"/>
    <x v="0"/>
    <x v="21"/>
    <x v="4"/>
    <x v="0"/>
    <x v="17"/>
    <x v="0"/>
    <x v="11"/>
    <x v="0"/>
    <x v="0"/>
    <x v="0"/>
    <x v="0"/>
    <x v="17"/>
    <x v="0"/>
    <x v="11"/>
    <x v="0"/>
    <x v="42"/>
    <x v="42"/>
    <x v="42"/>
    <x v="0"/>
  </r>
  <r>
    <x v="21"/>
    <x v="2"/>
    <x v="21"/>
    <x v="4"/>
    <x v="0"/>
    <x v="17"/>
    <x v="18"/>
    <x v="8"/>
    <x v="0"/>
    <x v="0"/>
    <x v="0"/>
    <x v="0"/>
    <x v="17"/>
    <x v="18"/>
    <x v="8"/>
    <x v="0"/>
    <x v="30"/>
    <x v="30"/>
    <x v="30"/>
    <x v="0"/>
  </r>
  <r>
    <x v="21"/>
    <x v="4"/>
    <x v="21"/>
    <x v="4"/>
    <x v="0"/>
    <x v="18"/>
    <x v="8"/>
    <x v="14"/>
    <x v="0"/>
    <x v="0"/>
    <x v="0"/>
    <x v="0"/>
    <x v="18"/>
    <x v="8"/>
    <x v="14"/>
    <x v="0"/>
    <x v="92"/>
    <x v="92"/>
    <x v="92"/>
    <x v="0"/>
  </r>
  <r>
    <x v="22"/>
    <x v="6"/>
    <x v="22"/>
    <x v="13"/>
    <x v="0"/>
    <x v="17"/>
    <x v="16"/>
    <x v="6"/>
    <x v="0"/>
    <x v="0"/>
    <x v="0"/>
    <x v="0"/>
    <x v="17"/>
    <x v="16"/>
    <x v="6"/>
    <x v="0"/>
    <x v="93"/>
    <x v="93"/>
    <x v="93"/>
    <x v="0"/>
  </r>
  <r>
    <x v="22"/>
    <x v="3"/>
    <x v="22"/>
    <x v="13"/>
    <x v="0"/>
    <x v="17"/>
    <x v="6"/>
    <x v="11"/>
    <x v="0"/>
    <x v="0"/>
    <x v="0"/>
    <x v="0"/>
    <x v="17"/>
    <x v="6"/>
    <x v="11"/>
    <x v="0"/>
    <x v="94"/>
    <x v="94"/>
    <x v="94"/>
    <x v="0"/>
  </r>
  <r>
    <x v="22"/>
    <x v="0"/>
    <x v="22"/>
    <x v="13"/>
    <x v="0"/>
    <x v="17"/>
    <x v="0"/>
    <x v="11"/>
    <x v="0"/>
    <x v="0"/>
    <x v="0"/>
    <x v="0"/>
    <x v="17"/>
    <x v="0"/>
    <x v="11"/>
    <x v="0"/>
    <x v="42"/>
    <x v="42"/>
    <x v="42"/>
    <x v="0"/>
  </r>
  <r>
    <x v="22"/>
    <x v="1"/>
    <x v="22"/>
    <x v="13"/>
    <x v="0"/>
    <x v="17"/>
    <x v="9"/>
    <x v="3"/>
    <x v="0"/>
    <x v="0"/>
    <x v="0"/>
    <x v="0"/>
    <x v="17"/>
    <x v="9"/>
    <x v="3"/>
    <x v="0"/>
    <x v="95"/>
    <x v="95"/>
    <x v="95"/>
    <x v="0"/>
  </r>
  <r>
    <x v="22"/>
    <x v="2"/>
    <x v="22"/>
    <x v="13"/>
    <x v="0"/>
    <x v="17"/>
    <x v="0"/>
    <x v="11"/>
    <x v="0"/>
    <x v="0"/>
    <x v="0"/>
    <x v="0"/>
    <x v="17"/>
    <x v="0"/>
    <x v="11"/>
    <x v="0"/>
    <x v="42"/>
    <x v="42"/>
    <x v="42"/>
    <x v="0"/>
  </r>
  <r>
    <x v="22"/>
    <x v="4"/>
    <x v="22"/>
    <x v="13"/>
    <x v="0"/>
    <x v="17"/>
    <x v="19"/>
    <x v="11"/>
    <x v="0"/>
    <x v="0"/>
    <x v="0"/>
    <x v="0"/>
    <x v="17"/>
    <x v="19"/>
    <x v="11"/>
    <x v="0"/>
    <x v="96"/>
    <x v="96"/>
    <x v="96"/>
    <x v="0"/>
  </r>
  <r>
    <x v="23"/>
    <x v="6"/>
    <x v="23"/>
    <x v="14"/>
    <x v="0"/>
    <x v="20"/>
    <x v="20"/>
    <x v="1"/>
    <x v="0"/>
    <x v="0"/>
    <x v="0"/>
    <x v="0"/>
    <x v="20"/>
    <x v="20"/>
    <x v="1"/>
    <x v="0"/>
    <x v="97"/>
    <x v="97"/>
    <x v="97"/>
    <x v="0"/>
  </r>
  <r>
    <x v="23"/>
    <x v="3"/>
    <x v="23"/>
    <x v="14"/>
    <x v="0"/>
    <x v="20"/>
    <x v="21"/>
    <x v="16"/>
    <x v="0"/>
    <x v="0"/>
    <x v="0"/>
    <x v="0"/>
    <x v="20"/>
    <x v="21"/>
    <x v="16"/>
    <x v="0"/>
    <x v="98"/>
    <x v="98"/>
    <x v="98"/>
    <x v="0"/>
  </r>
  <r>
    <x v="23"/>
    <x v="4"/>
    <x v="23"/>
    <x v="14"/>
    <x v="0"/>
    <x v="17"/>
    <x v="8"/>
    <x v="16"/>
    <x v="0"/>
    <x v="0"/>
    <x v="0"/>
    <x v="0"/>
    <x v="17"/>
    <x v="8"/>
    <x v="16"/>
    <x v="0"/>
    <x v="99"/>
    <x v="99"/>
    <x v="99"/>
    <x v="0"/>
  </r>
  <r>
    <x v="24"/>
    <x v="3"/>
    <x v="24"/>
    <x v="15"/>
    <x v="0"/>
    <x v="29"/>
    <x v="22"/>
    <x v="19"/>
    <x v="0"/>
    <x v="1"/>
    <x v="0"/>
    <x v="0"/>
    <x v="53"/>
    <x v="22"/>
    <x v="19"/>
    <x v="0"/>
    <x v="100"/>
    <x v="100"/>
    <x v="100"/>
    <x v="0"/>
  </r>
  <r>
    <x v="24"/>
    <x v="0"/>
    <x v="24"/>
    <x v="15"/>
    <x v="0"/>
    <x v="50"/>
    <x v="12"/>
    <x v="17"/>
    <x v="0"/>
    <x v="1"/>
    <x v="0"/>
    <x v="0"/>
    <x v="54"/>
    <x v="12"/>
    <x v="17"/>
    <x v="0"/>
    <x v="101"/>
    <x v="101"/>
    <x v="101"/>
    <x v="0"/>
  </r>
  <r>
    <x v="24"/>
    <x v="1"/>
    <x v="24"/>
    <x v="15"/>
    <x v="0"/>
    <x v="51"/>
    <x v="23"/>
    <x v="2"/>
    <x v="0"/>
    <x v="1"/>
    <x v="0"/>
    <x v="0"/>
    <x v="55"/>
    <x v="23"/>
    <x v="2"/>
    <x v="0"/>
    <x v="102"/>
    <x v="102"/>
    <x v="102"/>
    <x v="0"/>
  </r>
  <r>
    <x v="24"/>
    <x v="2"/>
    <x v="24"/>
    <x v="15"/>
    <x v="0"/>
    <x v="52"/>
    <x v="23"/>
    <x v="20"/>
    <x v="0"/>
    <x v="1"/>
    <x v="0"/>
    <x v="0"/>
    <x v="56"/>
    <x v="23"/>
    <x v="20"/>
    <x v="0"/>
    <x v="103"/>
    <x v="103"/>
    <x v="103"/>
    <x v="0"/>
  </r>
  <r>
    <x v="24"/>
    <x v="5"/>
    <x v="24"/>
    <x v="15"/>
    <x v="0"/>
    <x v="34"/>
    <x v="0"/>
    <x v="16"/>
    <x v="0"/>
    <x v="1"/>
    <x v="0"/>
    <x v="0"/>
    <x v="57"/>
    <x v="0"/>
    <x v="16"/>
    <x v="0"/>
    <x v="104"/>
    <x v="104"/>
    <x v="104"/>
    <x v="0"/>
  </r>
  <r>
    <x v="25"/>
    <x v="6"/>
    <x v="25"/>
    <x v="6"/>
    <x v="0"/>
    <x v="22"/>
    <x v="0"/>
    <x v="11"/>
    <x v="0"/>
    <x v="0"/>
    <x v="0"/>
    <x v="0"/>
    <x v="22"/>
    <x v="0"/>
    <x v="11"/>
    <x v="0"/>
    <x v="31"/>
    <x v="31"/>
    <x v="31"/>
    <x v="0"/>
  </r>
  <r>
    <x v="25"/>
    <x v="3"/>
    <x v="25"/>
    <x v="6"/>
    <x v="0"/>
    <x v="53"/>
    <x v="0"/>
    <x v="8"/>
    <x v="0"/>
    <x v="0"/>
    <x v="0"/>
    <x v="0"/>
    <x v="58"/>
    <x v="0"/>
    <x v="8"/>
    <x v="0"/>
    <x v="105"/>
    <x v="105"/>
    <x v="105"/>
    <x v="0"/>
  </r>
  <r>
    <x v="25"/>
    <x v="0"/>
    <x v="25"/>
    <x v="6"/>
    <x v="0"/>
    <x v="1"/>
    <x v="0"/>
    <x v="10"/>
    <x v="0"/>
    <x v="0"/>
    <x v="0"/>
    <x v="0"/>
    <x v="1"/>
    <x v="0"/>
    <x v="10"/>
    <x v="0"/>
    <x v="20"/>
    <x v="20"/>
    <x v="20"/>
    <x v="0"/>
  </r>
  <r>
    <x v="26"/>
    <x v="6"/>
    <x v="26"/>
    <x v="4"/>
    <x v="0"/>
    <x v="10"/>
    <x v="24"/>
    <x v="7"/>
    <x v="0"/>
    <x v="0"/>
    <x v="0"/>
    <x v="0"/>
    <x v="10"/>
    <x v="24"/>
    <x v="7"/>
    <x v="0"/>
    <x v="106"/>
    <x v="106"/>
    <x v="106"/>
    <x v="0"/>
  </r>
  <r>
    <x v="26"/>
    <x v="3"/>
    <x v="26"/>
    <x v="4"/>
    <x v="0"/>
    <x v="17"/>
    <x v="24"/>
    <x v="11"/>
    <x v="0"/>
    <x v="0"/>
    <x v="0"/>
    <x v="0"/>
    <x v="17"/>
    <x v="24"/>
    <x v="11"/>
    <x v="0"/>
    <x v="107"/>
    <x v="107"/>
    <x v="107"/>
    <x v="0"/>
  </r>
  <r>
    <x v="26"/>
    <x v="1"/>
    <x v="26"/>
    <x v="4"/>
    <x v="0"/>
    <x v="40"/>
    <x v="7"/>
    <x v="12"/>
    <x v="0"/>
    <x v="0"/>
    <x v="0"/>
    <x v="0"/>
    <x v="42"/>
    <x v="7"/>
    <x v="12"/>
    <x v="0"/>
    <x v="108"/>
    <x v="108"/>
    <x v="108"/>
    <x v="0"/>
  </r>
  <r>
    <x v="26"/>
    <x v="2"/>
    <x v="26"/>
    <x v="4"/>
    <x v="0"/>
    <x v="29"/>
    <x v="13"/>
    <x v="14"/>
    <x v="0"/>
    <x v="0"/>
    <x v="0"/>
    <x v="0"/>
    <x v="30"/>
    <x v="13"/>
    <x v="14"/>
    <x v="0"/>
    <x v="109"/>
    <x v="109"/>
    <x v="109"/>
    <x v="0"/>
  </r>
  <r>
    <x v="26"/>
    <x v="4"/>
    <x v="26"/>
    <x v="4"/>
    <x v="0"/>
    <x v="54"/>
    <x v="13"/>
    <x v="12"/>
    <x v="0"/>
    <x v="0"/>
    <x v="0"/>
    <x v="0"/>
    <x v="59"/>
    <x v="13"/>
    <x v="12"/>
    <x v="0"/>
    <x v="110"/>
    <x v="110"/>
    <x v="110"/>
    <x v="0"/>
  </r>
  <r>
    <x v="26"/>
    <x v="5"/>
    <x v="26"/>
    <x v="4"/>
    <x v="0"/>
    <x v="55"/>
    <x v="11"/>
    <x v="9"/>
    <x v="0"/>
    <x v="0"/>
    <x v="0"/>
    <x v="0"/>
    <x v="60"/>
    <x v="11"/>
    <x v="9"/>
    <x v="0"/>
    <x v="77"/>
    <x v="77"/>
    <x v="77"/>
    <x v="0"/>
  </r>
  <r>
    <x v="27"/>
    <x v="6"/>
    <x v="27"/>
    <x v="4"/>
    <x v="0"/>
    <x v="20"/>
    <x v="0"/>
    <x v="11"/>
    <x v="0"/>
    <x v="0"/>
    <x v="0"/>
    <x v="0"/>
    <x v="20"/>
    <x v="0"/>
    <x v="11"/>
    <x v="0"/>
    <x v="29"/>
    <x v="29"/>
    <x v="29"/>
    <x v="0"/>
  </r>
  <r>
    <x v="27"/>
    <x v="3"/>
    <x v="27"/>
    <x v="4"/>
    <x v="0"/>
    <x v="17"/>
    <x v="0"/>
    <x v="11"/>
    <x v="0"/>
    <x v="0"/>
    <x v="0"/>
    <x v="0"/>
    <x v="17"/>
    <x v="0"/>
    <x v="11"/>
    <x v="0"/>
    <x v="42"/>
    <x v="42"/>
    <x v="42"/>
    <x v="0"/>
  </r>
  <r>
    <x v="27"/>
    <x v="0"/>
    <x v="27"/>
    <x v="4"/>
    <x v="0"/>
    <x v="56"/>
    <x v="13"/>
    <x v="11"/>
    <x v="0"/>
    <x v="0"/>
    <x v="0"/>
    <x v="0"/>
    <x v="61"/>
    <x v="13"/>
    <x v="11"/>
    <x v="0"/>
    <x v="111"/>
    <x v="111"/>
    <x v="111"/>
    <x v="0"/>
  </r>
  <r>
    <x v="27"/>
    <x v="1"/>
    <x v="27"/>
    <x v="4"/>
    <x v="0"/>
    <x v="56"/>
    <x v="11"/>
    <x v="6"/>
    <x v="0"/>
    <x v="0"/>
    <x v="0"/>
    <x v="0"/>
    <x v="61"/>
    <x v="11"/>
    <x v="6"/>
    <x v="0"/>
    <x v="112"/>
    <x v="112"/>
    <x v="112"/>
    <x v="0"/>
  </r>
  <r>
    <x v="27"/>
    <x v="2"/>
    <x v="27"/>
    <x v="4"/>
    <x v="0"/>
    <x v="19"/>
    <x v="0"/>
    <x v="11"/>
    <x v="0"/>
    <x v="0"/>
    <x v="0"/>
    <x v="0"/>
    <x v="19"/>
    <x v="0"/>
    <x v="11"/>
    <x v="0"/>
    <x v="67"/>
    <x v="67"/>
    <x v="67"/>
    <x v="0"/>
  </r>
  <r>
    <x v="27"/>
    <x v="4"/>
    <x v="27"/>
    <x v="4"/>
    <x v="0"/>
    <x v="19"/>
    <x v="4"/>
    <x v="6"/>
    <x v="0"/>
    <x v="0"/>
    <x v="0"/>
    <x v="0"/>
    <x v="19"/>
    <x v="4"/>
    <x v="6"/>
    <x v="0"/>
    <x v="113"/>
    <x v="113"/>
    <x v="113"/>
    <x v="0"/>
  </r>
  <r>
    <x v="27"/>
    <x v="5"/>
    <x v="27"/>
    <x v="4"/>
    <x v="0"/>
    <x v="57"/>
    <x v="25"/>
    <x v="1"/>
    <x v="0"/>
    <x v="0"/>
    <x v="0"/>
    <x v="0"/>
    <x v="62"/>
    <x v="25"/>
    <x v="1"/>
    <x v="0"/>
    <x v="114"/>
    <x v="114"/>
    <x v="114"/>
    <x v="0"/>
  </r>
  <r>
    <x v="28"/>
    <x v="5"/>
    <x v="28"/>
    <x v="16"/>
    <x v="0"/>
    <x v="37"/>
    <x v="0"/>
    <x v="7"/>
    <x v="0"/>
    <x v="0"/>
    <x v="0"/>
    <x v="0"/>
    <x v="39"/>
    <x v="0"/>
    <x v="7"/>
    <x v="0"/>
    <x v="115"/>
    <x v="115"/>
    <x v="115"/>
    <x v="0"/>
  </r>
  <r>
    <x v="29"/>
    <x v="6"/>
    <x v="29"/>
    <x v="1"/>
    <x v="0"/>
    <x v="47"/>
    <x v="0"/>
    <x v="6"/>
    <x v="0"/>
    <x v="0"/>
    <x v="0"/>
    <x v="0"/>
    <x v="50"/>
    <x v="0"/>
    <x v="6"/>
    <x v="0"/>
    <x v="116"/>
    <x v="116"/>
    <x v="116"/>
    <x v="0"/>
  </r>
  <r>
    <x v="29"/>
    <x v="3"/>
    <x v="29"/>
    <x v="1"/>
    <x v="0"/>
    <x v="39"/>
    <x v="0"/>
    <x v="1"/>
    <x v="0"/>
    <x v="0"/>
    <x v="0"/>
    <x v="0"/>
    <x v="41"/>
    <x v="0"/>
    <x v="1"/>
    <x v="0"/>
    <x v="117"/>
    <x v="117"/>
    <x v="117"/>
    <x v="0"/>
  </r>
  <r>
    <x v="29"/>
    <x v="0"/>
    <x v="29"/>
    <x v="1"/>
    <x v="0"/>
    <x v="58"/>
    <x v="0"/>
    <x v="1"/>
    <x v="0"/>
    <x v="0"/>
    <x v="0"/>
    <x v="0"/>
    <x v="63"/>
    <x v="0"/>
    <x v="1"/>
    <x v="0"/>
    <x v="118"/>
    <x v="118"/>
    <x v="118"/>
    <x v="0"/>
  </r>
  <r>
    <x v="29"/>
    <x v="1"/>
    <x v="29"/>
    <x v="1"/>
    <x v="0"/>
    <x v="59"/>
    <x v="0"/>
    <x v="6"/>
    <x v="0"/>
    <x v="0"/>
    <x v="0"/>
    <x v="0"/>
    <x v="64"/>
    <x v="0"/>
    <x v="6"/>
    <x v="0"/>
    <x v="119"/>
    <x v="119"/>
    <x v="119"/>
    <x v="0"/>
  </r>
  <r>
    <x v="29"/>
    <x v="2"/>
    <x v="29"/>
    <x v="1"/>
    <x v="0"/>
    <x v="0"/>
    <x v="0"/>
    <x v="10"/>
    <x v="0"/>
    <x v="0"/>
    <x v="0"/>
    <x v="0"/>
    <x v="0"/>
    <x v="0"/>
    <x v="10"/>
    <x v="0"/>
    <x v="120"/>
    <x v="120"/>
    <x v="120"/>
    <x v="0"/>
  </r>
  <r>
    <x v="29"/>
    <x v="4"/>
    <x v="29"/>
    <x v="1"/>
    <x v="0"/>
    <x v="60"/>
    <x v="0"/>
    <x v="1"/>
    <x v="0"/>
    <x v="0"/>
    <x v="0"/>
    <x v="0"/>
    <x v="65"/>
    <x v="0"/>
    <x v="1"/>
    <x v="0"/>
    <x v="121"/>
    <x v="121"/>
    <x v="121"/>
    <x v="0"/>
  </r>
  <r>
    <x v="30"/>
    <x v="6"/>
    <x v="30"/>
    <x v="8"/>
    <x v="0"/>
    <x v="60"/>
    <x v="9"/>
    <x v="11"/>
    <x v="0"/>
    <x v="0"/>
    <x v="0"/>
    <x v="0"/>
    <x v="65"/>
    <x v="9"/>
    <x v="11"/>
    <x v="0"/>
    <x v="122"/>
    <x v="122"/>
    <x v="122"/>
    <x v="0"/>
  </r>
  <r>
    <x v="30"/>
    <x v="3"/>
    <x v="30"/>
    <x v="8"/>
    <x v="0"/>
    <x v="49"/>
    <x v="26"/>
    <x v="6"/>
    <x v="0"/>
    <x v="0"/>
    <x v="0"/>
    <x v="0"/>
    <x v="52"/>
    <x v="26"/>
    <x v="6"/>
    <x v="0"/>
    <x v="123"/>
    <x v="123"/>
    <x v="123"/>
    <x v="0"/>
  </r>
  <r>
    <x v="30"/>
    <x v="0"/>
    <x v="30"/>
    <x v="8"/>
    <x v="0"/>
    <x v="0"/>
    <x v="12"/>
    <x v="8"/>
    <x v="0"/>
    <x v="0"/>
    <x v="0"/>
    <x v="0"/>
    <x v="0"/>
    <x v="12"/>
    <x v="8"/>
    <x v="0"/>
    <x v="124"/>
    <x v="124"/>
    <x v="124"/>
    <x v="0"/>
  </r>
  <r>
    <x v="30"/>
    <x v="1"/>
    <x v="30"/>
    <x v="8"/>
    <x v="0"/>
    <x v="17"/>
    <x v="25"/>
    <x v="6"/>
    <x v="0"/>
    <x v="0"/>
    <x v="0"/>
    <x v="0"/>
    <x v="17"/>
    <x v="25"/>
    <x v="6"/>
    <x v="0"/>
    <x v="125"/>
    <x v="125"/>
    <x v="125"/>
    <x v="0"/>
  </r>
  <r>
    <x v="30"/>
    <x v="2"/>
    <x v="30"/>
    <x v="8"/>
    <x v="0"/>
    <x v="17"/>
    <x v="0"/>
    <x v="11"/>
    <x v="0"/>
    <x v="0"/>
    <x v="0"/>
    <x v="0"/>
    <x v="17"/>
    <x v="0"/>
    <x v="11"/>
    <x v="0"/>
    <x v="42"/>
    <x v="42"/>
    <x v="42"/>
    <x v="0"/>
  </r>
  <r>
    <x v="30"/>
    <x v="4"/>
    <x v="30"/>
    <x v="8"/>
    <x v="0"/>
    <x v="17"/>
    <x v="13"/>
    <x v="6"/>
    <x v="0"/>
    <x v="0"/>
    <x v="0"/>
    <x v="0"/>
    <x v="17"/>
    <x v="13"/>
    <x v="6"/>
    <x v="0"/>
    <x v="90"/>
    <x v="90"/>
    <x v="90"/>
    <x v="0"/>
  </r>
  <r>
    <x v="30"/>
    <x v="5"/>
    <x v="30"/>
    <x v="8"/>
    <x v="0"/>
    <x v="47"/>
    <x v="25"/>
    <x v="11"/>
    <x v="0"/>
    <x v="0"/>
    <x v="0"/>
    <x v="0"/>
    <x v="50"/>
    <x v="25"/>
    <x v="11"/>
    <x v="0"/>
    <x v="126"/>
    <x v="126"/>
    <x v="126"/>
    <x v="0"/>
  </r>
  <r>
    <x v="31"/>
    <x v="5"/>
    <x v="31"/>
    <x v="4"/>
    <x v="0"/>
    <x v="48"/>
    <x v="0"/>
    <x v="11"/>
    <x v="0"/>
    <x v="0"/>
    <x v="0"/>
    <x v="0"/>
    <x v="51"/>
    <x v="0"/>
    <x v="11"/>
    <x v="0"/>
    <x v="89"/>
    <x v="89"/>
    <x v="89"/>
    <x v="0"/>
  </r>
  <r>
    <x v="32"/>
    <x v="3"/>
    <x v="32"/>
    <x v="1"/>
    <x v="0"/>
    <x v="5"/>
    <x v="0"/>
    <x v="8"/>
    <x v="0"/>
    <x v="0"/>
    <x v="0"/>
    <x v="0"/>
    <x v="5"/>
    <x v="0"/>
    <x v="8"/>
    <x v="0"/>
    <x v="127"/>
    <x v="127"/>
    <x v="127"/>
    <x v="0"/>
  </r>
  <r>
    <x v="32"/>
    <x v="0"/>
    <x v="32"/>
    <x v="1"/>
    <x v="0"/>
    <x v="21"/>
    <x v="0"/>
    <x v="11"/>
    <x v="0"/>
    <x v="0"/>
    <x v="0"/>
    <x v="0"/>
    <x v="21"/>
    <x v="0"/>
    <x v="11"/>
    <x v="0"/>
    <x v="128"/>
    <x v="128"/>
    <x v="128"/>
    <x v="0"/>
  </r>
  <r>
    <x v="32"/>
    <x v="1"/>
    <x v="32"/>
    <x v="1"/>
    <x v="0"/>
    <x v="46"/>
    <x v="0"/>
    <x v="6"/>
    <x v="0"/>
    <x v="0"/>
    <x v="0"/>
    <x v="0"/>
    <x v="49"/>
    <x v="0"/>
    <x v="6"/>
    <x v="0"/>
    <x v="129"/>
    <x v="129"/>
    <x v="129"/>
    <x v="0"/>
  </r>
  <r>
    <x v="32"/>
    <x v="2"/>
    <x v="32"/>
    <x v="1"/>
    <x v="0"/>
    <x v="36"/>
    <x v="0"/>
    <x v="11"/>
    <x v="0"/>
    <x v="0"/>
    <x v="0"/>
    <x v="0"/>
    <x v="38"/>
    <x v="0"/>
    <x v="11"/>
    <x v="0"/>
    <x v="130"/>
    <x v="130"/>
    <x v="130"/>
    <x v="0"/>
  </r>
  <r>
    <x v="32"/>
    <x v="4"/>
    <x v="32"/>
    <x v="1"/>
    <x v="0"/>
    <x v="60"/>
    <x v="0"/>
    <x v="6"/>
    <x v="0"/>
    <x v="0"/>
    <x v="0"/>
    <x v="0"/>
    <x v="65"/>
    <x v="0"/>
    <x v="6"/>
    <x v="0"/>
    <x v="131"/>
    <x v="131"/>
    <x v="131"/>
    <x v="0"/>
  </r>
  <r>
    <x v="33"/>
    <x v="6"/>
    <x v="33"/>
    <x v="6"/>
    <x v="0"/>
    <x v="15"/>
    <x v="0"/>
    <x v="3"/>
    <x v="0"/>
    <x v="1"/>
    <x v="0"/>
    <x v="0"/>
    <x v="66"/>
    <x v="0"/>
    <x v="3"/>
    <x v="0"/>
    <x v="132"/>
    <x v="132"/>
    <x v="132"/>
    <x v="0"/>
  </r>
  <r>
    <x v="33"/>
    <x v="3"/>
    <x v="33"/>
    <x v="6"/>
    <x v="0"/>
    <x v="38"/>
    <x v="0"/>
    <x v="7"/>
    <x v="0"/>
    <x v="1"/>
    <x v="0"/>
    <x v="0"/>
    <x v="67"/>
    <x v="0"/>
    <x v="7"/>
    <x v="0"/>
    <x v="133"/>
    <x v="133"/>
    <x v="133"/>
    <x v="0"/>
  </r>
  <r>
    <x v="33"/>
    <x v="1"/>
    <x v="33"/>
    <x v="6"/>
    <x v="0"/>
    <x v="9"/>
    <x v="0"/>
    <x v="10"/>
    <x v="0"/>
    <x v="1"/>
    <x v="0"/>
    <x v="0"/>
    <x v="68"/>
    <x v="0"/>
    <x v="10"/>
    <x v="0"/>
    <x v="134"/>
    <x v="134"/>
    <x v="134"/>
    <x v="0"/>
  </r>
  <r>
    <x v="33"/>
    <x v="2"/>
    <x v="33"/>
    <x v="6"/>
    <x v="0"/>
    <x v="38"/>
    <x v="0"/>
    <x v="14"/>
    <x v="0"/>
    <x v="1"/>
    <x v="0"/>
    <x v="0"/>
    <x v="67"/>
    <x v="0"/>
    <x v="14"/>
    <x v="0"/>
    <x v="135"/>
    <x v="135"/>
    <x v="135"/>
    <x v="0"/>
  </r>
  <r>
    <x v="33"/>
    <x v="4"/>
    <x v="33"/>
    <x v="6"/>
    <x v="0"/>
    <x v="13"/>
    <x v="0"/>
    <x v="7"/>
    <x v="0"/>
    <x v="1"/>
    <x v="0"/>
    <x v="0"/>
    <x v="69"/>
    <x v="0"/>
    <x v="7"/>
    <x v="0"/>
    <x v="136"/>
    <x v="136"/>
    <x v="136"/>
    <x v="0"/>
  </r>
  <r>
    <x v="33"/>
    <x v="5"/>
    <x v="33"/>
    <x v="6"/>
    <x v="0"/>
    <x v="35"/>
    <x v="0"/>
    <x v="8"/>
    <x v="0"/>
    <x v="1"/>
    <x v="0"/>
    <x v="0"/>
    <x v="70"/>
    <x v="0"/>
    <x v="8"/>
    <x v="0"/>
    <x v="137"/>
    <x v="137"/>
    <x v="137"/>
    <x v="0"/>
  </r>
  <r>
    <x v="34"/>
    <x v="3"/>
    <x v="34"/>
    <x v="8"/>
    <x v="0"/>
    <x v="61"/>
    <x v="0"/>
    <x v="11"/>
    <x v="0"/>
    <x v="0"/>
    <x v="0"/>
    <x v="0"/>
    <x v="71"/>
    <x v="0"/>
    <x v="11"/>
    <x v="0"/>
    <x v="138"/>
    <x v="138"/>
    <x v="138"/>
    <x v="0"/>
  </r>
  <r>
    <x v="34"/>
    <x v="0"/>
    <x v="34"/>
    <x v="8"/>
    <x v="0"/>
    <x v="36"/>
    <x v="0"/>
    <x v="6"/>
    <x v="0"/>
    <x v="0"/>
    <x v="0"/>
    <x v="0"/>
    <x v="38"/>
    <x v="0"/>
    <x v="6"/>
    <x v="0"/>
    <x v="51"/>
    <x v="51"/>
    <x v="51"/>
    <x v="0"/>
  </r>
  <r>
    <x v="34"/>
    <x v="1"/>
    <x v="34"/>
    <x v="8"/>
    <x v="0"/>
    <x v="62"/>
    <x v="0"/>
    <x v="6"/>
    <x v="0"/>
    <x v="0"/>
    <x v="0"/>
    <x v="0"/>
    <x v="72"/>
    <x v="0"/>
    <x v="6"/>
    <x v="0"/>
    <x v="139"/>
    <x v="139"/>
    <x v="139"/>
    <x v="0"/>
  </r>
  <r>
    <x v="35"/>
    <x v="1"/>
    <x v="35"/>
    <x v="10"/>
    <x v="3"/>
    <x v="47"/>
    <x v="0"/>
    <x v="6"/>
    <x v="0"/>
    <x v="0"/>
    <x v="0"/>
    <x v="0"/>
    <x v="50"/>
    <x v="0"/>
    <x v="6"/>
    <x v="0"/>
    <x v="116"/>
    <x v="116"/>
    <x v="116"/>
    <x v="0"/>
  </r>
  <r>
    <x v="35"/>
    <x v="2"/>
    <x v="35"/>
    <x v="10"/>
    <x v="3"/>
    <x v="7"/>
    <x v="0"/>
    <x v="10"/>
    <x v="0"/>
    <x v="0"/>
    <x v="0"/>
    <x v="0"/>
    <x v="7"/>
    <x v="0"/>
    <x v="10"/>
    <x v="0"/>
    <x v="140"/>
    <x v="140"/>
    <x v="140"/>
    <x v="0"/>
  </r>
  <r>
    <x v="35"/>
    <x v="4"/>
    <x v="35"/>
    <x v="10"/>
    <x v="3"/>
    <x v="63"/>
    <x v="0"/>
    <x v="0"/>
    <x v="0"/>
    <x v="0"/>
    <x v="0"/>
    <x v="0"/>
    <x v="73"/>
    <x v="0"/>
    <x v="0"/>
    <x v="0"/>
    <x v="141"/>
    <x v="141"/>
    <x v="141"/>
    <x v="0"/>
  </r>
  <r>
    <x v="35"/>
    <x v="5"/>
    <x v="35"/>
    <x v="10"/>
    <x v="3"/>
    <x v="15"/>
    <x v="0"/>
    <x v="0"/>
    <x v="0"/>
    <x v="0"/>
    <x v="0"/>
    <x v="0"/>
    <x v="15"/>
    <x v="0"/>
    <x v="0"/>
    <x v="0"/>
    <x v="142"/>
    <x v="142"/>
    <x v="142"/>
    <x v="0"/>
  </r>
  <r>
    <x v="36"/>
    <x v="6"/>
    <x v="36"/>
    <x v="4"/>
    <x v="0"/>
    <x v="41"/>
    <x v="27"/>
    <x v="16"/>
    <x v="0"/>
    <x v="0"/>
    <x v="0"/>
    <x v="0"/>
    <x v="43"/>
    <x v="27"/>
    <x v="16"/>
    <x v="0"/>
    <x v="143"/>
    <x v="143"/>
    <x v="143"/>
    <x v="0"/>
  </r>
  <r>
    <x v="36"/>
    <x v="3"/>
    <x v="36"/>
    <x v="4"/>
    <x v="0"/>
    <x v="15"/>
    <x v="26"/>
    <x v="16"/>
    <x v="0"/>
    <x v="0"/>
    <x v="0"/>
    <x v="0"/>
    <x v="15"/>
    <x v="26"/>
    <x v="16"/>
    <x v="0"/>
    <x v="144"/>
    <x v="144"/>
    <x v="144"/>
    <x v="0"/>
  </r>
  <r>
    <x v="36"/>
    <x v="0"/>
    <x v="36"/>
    <x v="4"/>
    <x v="0"/>
    <x v="39"/>
    <x v="19"/>
    <x v="1"/>
    <x v="0"/>
    <x v="0"/>
    <x v="0"/>
    <x v="0"/>
    <x v="41"/>
    <x v="19"/>
    <x v="1"/>
    <x v="0"/>
    <x v="145"/>
    <x v="145"/>
    <x v="145"/>
    <x v="0"/>
  </r>
  <r>
    <x v="36"/>
    <x v="1"/>
    <x v="36"/>
    <x v="4"/>
    <x v="0"/>
    <x v="49"/>
    <x v="0"/>
    <x v="10"/>
    <x v="0"/>
    <x v="0"/>
    <x v="0"/>
    <x v="0"/>
    <x v="52"/>
    <x v="0"/>
    <x v="10"/>
    <x v="0"/>
    <x v="146"/>
    <x v="146"/>
    <x v="146"/>
    <x v="0"/>
  </r>
  <r>
    <x v="36"/>
    <x v="2"/>
    <x v="36"/>
    <x v="4"/>
    <x v="0"/>
    <x v="56"/>
    <x v="0"/>
    <x v="6"/>
    <x v="0"/>
    <x v="0"/>
    <x v="0"/>
    <x v="0"/>
    <x v="61"/>
    <x v="0"/>
    <x v="6"/>
    <x v="0"/>
    <x v="147"/>
    <x v="147"/>
    <x v="147"/>
    <x v="0"/>
  </r>
  <r>
    <x v="36"/>
    <x v="5"/>
    <x v="36"/>
    <x v="4"/>
    <x v="0"/>
    <x v="1"/>
    <x v="0"/>
    <x v="6"/>
    <x v="0"/>
    <x v="0"/>
    <x v="0"/>
    <x v="0"/>
    <x v="1"/>
    <x v="0"/>
    <x v="6"/>
    <x v="0"/>
    <x v="148"/>
    <x v="148"/>
    <x v="148"/>
    <x v="0"/>
  </r>
  <r>
    <x v="37"/>
    <x v="3"/>
    <x v="37"/>
    <x v="12"/>
    <x v="0"/>
    <x v="38"/>
    <x v="0"/>
    <x v="7"/>
    <x v="0"/>
    <x v="0"/>
    <x v="0"/>
    <x v="0"/>
    <x v="40"/>
    <x v="0"/>
    <x v="7"/>
    <x v="0"/>
    <x v="149"/>
    <x v="149"/>
    <x v="149"/>
    <x v="0"/>
  </r>
  <r>
    <x v="37"/>
    <x v="1"/>
    <x v="37"/>
    <x v="12"/>
    <x v="0"/>
    <x v="40"/>
    <x v="0"/>
    <x v="14"/>
    <x v="0"/>
    <x v="0"/>
    <x v="0"/>
    <x v="0"/>
    <x v="42"/>
    <x v="0"/>
    <x v="14"/>
    <x v="0"/>
    <x v="150"/>
    <x v="150"/>
    <x v="150"/>
    <x v="0"/>
  </r>
  <r>
    <x v="37"/>
    <x v="2"/>
    <x v="37"/>
    <x v="12"/>
    <x v="0"/>
    <x v="37"/>
    <x v="0"/>
    <x v="10"/>
    <x v="0"/>
    <x v="0"/>
    <x v="0"/>
    <x v="0"/>
    <x v="39"/>
    <x v="0"/>
    <x v="10"/>
    <x v="0"/>
    <x v="151"/>
    <x v="151"/>
    <x v="151"/>
    <x v="0"/>
  </r>
  <r>
    <x v="37"/>
    <x v="4"/>
    <x v="37"/>
    <x v="12"/>
    <x v="0"/>
    <x v="64"/>
    <x v="0"/>
    <x v="16"/>
    <x v="0"/>
    <x v="0"/>
    <x v="0"/>
    <x v="0"/>
    <x v="74"/>
    <x v="0"/>
    <x v="16"/>
    <x v="0"/>
    <x v="152"/>
    <x v="152"/>
    <x v="152"/>
    <x v="0"/>
  </r>
  <r>
    <x v="38"/>
    <x v="6"/>
    <x v="38"/>
    <x v="1"/>
    <x v="0"/>
    <x v="17"/>
    <x v="7"/>
    <x v="8"/>
    <x v="0"/>
    <x v="0"/>
    <x v="0"/>
    <x v="0"/>
    <x v="17"/>
    <x v="7"/>
    <x v="8"/>
    <x v="0"/>
    <x v="31"/>
    <x v="31"/>
    <x v="31"/>
    <x v="0"/>
  </r>
  <r>
    <x v="38"/>
    <x v="0"/>
    <x v="38"/>
    <x v="1"/>
    <x v="0"/>
    <x v="20"/>
    <x v="0"/>
    <x v="11"/>
    <x v="0"/>
    <x v="0"/>
    <x v="0"/>
    <x v="0"/>
    <x v="20"/>
    <x v="0"/>
    <x v="11"/>
    <x v="0"/>
    <x v="29"/>
    <x v="29"/>
    <x v="29"/>
    <x v="0"/>
  </r>
  <r>
    <x v="38"/>
    <x v="1"/>
    <x v="38"/>
    <x v="1"/>
    <x v="0"/>
    <x v="17"/>
    <x v="26"/>
    <x v="11"/>
    <x v="0"/>
    <x v="0"/>
    <x v="0"/>
    <x v="0"/>
    <x v="17"/>
    <x v="26"/>
    <x v="11"/>
    <x v="0"/>
    <x v="153"/>
    <x v="153"/>
    <x v="153"/>
    <x v="0"/>
  </r>
  <r>
    <x v="38"/>
    <x v="2"/>
    <x v="38"/>
    <x v="1"/>
    <x v="0"/>
    <x v="18"/>
    <x v="28"/>
    <x v="1"/>
    <x v="0"/>
    <x v="0"/>
    <x v="0"/>
    <x v="0"/>
    <x v="18"/>
    <x v="28"/>
    <x v="1"/>
    <x v="0"/>
    <x v="154"/>
    <x v="154"/>
    <x v="154"/>
    <x v="0"/>
  </r>
  <r>
    <x v="38"/>
    <x v="4"/>
    <x v="38"/>
    <x v="1"/>
    <x v="0"/>
    <x v="65"/>
    <x v="18"/>
    <x v="1"/>
    <x v="0"/>
    <x v="0"/>
    <x v="0"/>
    <x v="0"/>
    <x v="75"/>
    <x v="18"/>
    <x v="1"/>
    <x v="0"/>
    <x v="155"/>
    <x v="155"/>
    <x v="155"/>
    <x v="0"/>
  </r>
  <r>
    <x v="38"/>
    <x v="5"/>
    <x v="38"/>
    <x v="1"/>
    <x v="0"/>
    <x v="20"/>
    <x v="3"/>
    <x v="1"/>
    <x v="0"/>
    <x v="0"/>
    <x v="0"/>
    <x v="0"/>
    <x v="20"/>
    <x v="3"/>
    <x v="1"/>
    <x v="0"/>
    <x v="156"/>
    <x v="156"/>
    <x v="156"/>
    <x v="0"/>
  </r>
  <r>
    <x v="39"/>
    <x v="4"/>
    <x v="39"/>
    <x v="14"/>
    <x v="0"/>
    <x v="19"/>
    <x v="0"/>
    <x v="11"/>
    <x v="0"/>
    <x v="0"/>
    <x v="0"/>
    <x v="0"/>
    <x v="19"/>
    <x v="0"/>
    <x v="11"/>
    <x v="0"/>
    <x v="67"/>
    <x v="67"/>
    <x v="67"/>
    <x v="0"/>
  </r>
  <r>
    <x v="40"/>
    <x v="6"/>
    <x v="40"/>
    <x v="17"/>
    <x v="4"/>
    <x v="63"/>
    <x v="0"/>
    <x v="0"/>
    <x v="0"/>
    <x v="0"/>
    <x v="0"/>
    <x v="0"/>
    <x v="73"/>
    <x v="0"/>
    <x v="0"/>
    <x v="0"/>
    <x v="141"/>
    <x v="141"/>
    <x v="141"/>
    <x v="0"/>
  </r>
  <r>
    <x v="40"/>
    <x v="3"/>
    <x v="40"/>
    <x v="17"/>
    <x v="4"/>
    <x v="65"/>
    <x v="1"/>
    <x v="7"/>
    <x v="0"/>
    <x v="0"/>
    <x v="0"/>
    <x v="0"/>
    <x v="75"/>
    <x v="1"/>
    <x v="7"/>
    <x v="0"/>
    <x v="157"/>
    <x v="157"/>
    <x v="157"/>
    <x v="0"/>
  </r>
  <r>
    <x v="40"/>
    <x v="0"/>
    <x v="40"/>
    <x v="17"/>
    <x v="4"/>
    <x v="15"/>
    <x v="19"/>
    <x v="8"/>
    <x v="0"/>
    <x v="0"/>
    <x v="0"/>
    <x v="0"/>
    <x v="15"/>
    <x v="19"/>
    <x v="8"/>
    <x v="0"/>
    <x v="158"/>
    <x v="158"/>
    <x v="158"/>
    <x v="0"/>
  </r>
  <r>
    <x v="40"/>
    <x v="1"/>
    <x v="40"/>
    <x v="17"/>
    <x v="4"/>
    <x v="13"/>
    <x v="0"/>
    <x v="12"/>
    <x v="0"/>
    <x v="0"/>
    <x v="0"/>
    <x v="0"/>
    <x v="13"/>
    <x v="0"/>
    <x v="12"/>
    <x v="0"/>
    <x v="159"/>
    <x v="159"/>
    <x v="159"/>
    <x v="0"/>
  </r>
  <r>
    <x v="40"/>
    <x v="4"/>
    <x v="40"/>
    <x v="17"/>
    <x v="4"/>
    <x v="23"/>
    <x v="10"/>
    <x v="10"/>
    <x v="0"/>
    <x v="0"/>
    <x v="0"/>
    <x v="0"/>
    <x v="23"/>
    <x v="10"/>
    <x v="10"/>
    <x v="0"/>
    <x v="160"/>
    <x v="160"/>
    <x v="160"/>
    <x v="0"/>
  </r>
  <r>
    <x v="40"/>
    <x v="5"/>
    <x v="40"/>
    <x v="17"/>
    <x v="4"/>
    <x v="22"/>
    <x v="1"/>
    <x v="2"/>
    <x v="0"/>
    <x v="0"/>
    <x v="0"/>
    <x v="0"/>
    <x v="22"/>
    <x v="1"/>
    <x v="2"/>
    <x v="0"/>
    <x v="161"/>
    <x v="161"/>
    <x v="161"/>
    <x v="0"/>
  </r>
  <r>
    <x v="41"/>
    <x v="6"/>
    <x v="41"/>
    <x v="18"/>
    <x v="0"/>
    <x v="20"/>
    <x v="17"/>
    <x v="1"/>
    <x v="0"/>
    <x v="0"/>
    <x v="0"/>
    <x v="0"/>
    <x v="20"/>
    <x v="17"/>
    <x v="1"/>
    <x v="0"/>
    <x v="162"/>
    <x v="162"/>
    <x v="162"/>
    <x v="0"/>
  </r>
  <r>
    <x v="41"/>
    <x v="3"/>
    <x v="41"/>
    <x v="18"/>
    <x v="0"/>
    <x v="17"/>
    <x v="21"/>
    <x v="14"/>
    <x v="0"/>
    <x v="0"/>
    <x v="0"/>
    <x v="0"/>
    <x v="17"/>
    <x v="21"/>
    <x v="14"/>
    <x v="0"/>
    <x v="163"/>
    <x v="163"/>
    <x v="163"/>
    <x v="0"/>
  </r>
  <r>
    <x v="41"/>
    <x v="0"/>
    <x v="41"/>
    <x v="18"/>
    <x v="0"/>
    <x v="17"/>
    <x v="5"/>
    <x v="1"/>
    <x v="0"/>
    <x v="0"/>
    <x v="0"/>
    <x v="0"/>
    <x v="17"/>
    <x v="5"/>
    <x v="1"/>
    <x v="0"/>
    <x v="164"/>
    <x v="164"/>
    <x v="164"/>
    <x v="0"/>
  </r>
  <r>
    <x v="41"/>
    <x v="1"/>
    <x v="41"/>
    <x v="18"/>
    <x v="0"/>
    <x v="20"/>
    <x v="1"/>
    <x v="1"/>
    <x v="0"/>
    <x v="0"/>
    <x v="0"/>
    <x v="0"/>
    <x v="20"/>
    <x v="1"/>
    <x v="1"/>
    <x v="0"/>
    <x v="165"/>
    <x v="165"/>
    <x v="165"/>
    <x v="0"/>
  </r>
  <r>
    <x v="41"/>
    <x v="2"/>
    <x v="41"/>
    <x v="18"/>
    <x v="0"/>
    <x v="17"/>
    <x v="24"/>
    <x v="6"/>
    <x v="0"/>
    <x v="0"/>
    <x v="0"/>
    <x v="0"/>
    <x v="17"/>
    <x v="24"/>
    <x v="6"/>
    <x v="0"/>
    <x v="166"/>
    <x v="166"/>
    <x v="166"/>
    <x v="0"/>
  </r>
  <r>
    <x v="41"/>
    <x v="4"/>
    <x v="41"/>
    <x v="18"/>
    <x v="0"/>
    <x v="17"/>
    <x v="29"/>
    <x v="7"/>
    <x v="0"/>
    <x v="0"/>
    <x v="0"/>
    <x v="0"/>
    <x v="17"/>
    <x v="29"/>
    <x v="7"/>
    <x v="0"/>
    <x v="167"/>
    <x v="167"/>
    <x v="167"/>
    <x v="0"/>
  </r>
  <r>
    <x v="41"/>
    <x v="5"/>
    <x v="41"/>
    <x v="18"/>
    <x v="0"/>
    <x v="17"/>
    <x v="30"/>
    <x v="10"/>
    <x v="0"/>
    <x v="0"/>
    <x v="0"/>
    <x v="0"/>
    <x v="17"/>
    <x v="30"/>
    <x v="10"/>
    <x v="0"/>
    <x v="168"/>
    <x v="168"/>
    <x v="168"/>
    <x v="0"/>
  </r>
  <r>
    <x v="42"/>
    <x v="6"/>
    <x v="42"/>
    <x v="19"/>
    <x v="0"/>
    <x v="17"/>
    <x v="0"/>
    <x v="11"/>
    <x v="0"/>
    <x v="1"/>
    <x v="0"/>
    <x v="0"/>
    <x v="17"/>
    <x v="0"/>
    <x v="11"/>
    <x v="0"/>
    <x v="42"/>
    <x v="42"/>
    <x v="42"/>
    <x v="0"/>
  </r>
  <r>
    <x v="42"/>
    <x v="0"/>
    <x v="42"/>
    <x v="19"/>
    <x v="0"/>
    <x v="52"/>
    <x v="0"/>
    <x v="20"/>
    <x v="0"/>
    <x v="1"/>
    <x v="0"/>
    <x v="0"/>
    <x v="56"/>
    <x v="0"/>
    <x v="20"/>
    <x v="0"/>
    <x v="169"/>
    <x v="169"/>
    <x v="169"/>
    <x v="0"/>
  </r>
  <r>
    <x v="42"/>
    <x v="1"/>
    <x v="42"/>
    <x v="19"/>
    <x v="0"/>
    <x v="24"/>
    <x v="0"/>
    <x v="18"/>
    <x v="0"/>
    <x v="1"/>
    <x v="0"/>
    <x v="0"/>
    <x v="25"/>
    <x v="0"/>
    <x v="18"/>
    <x v="0"/>
    <x v="170"/>
    <x v="170"/>
    <x v="170"/>
    <x v="0"/>
  </r>
  <r>
    <x v="42"/>
    <x v="2"/>
    <x v="42"/>
    <x v="19"/>
    <x v="0"/>
    <x v="28"/>
    <x v="0"/>
    <x v="12"/>
    <x v="0"/>
    <x v="1"/>
    <x v="0"/>
    <x v="0"/>
    <x v="29"/>
    <x v="0"/>
    <x v="12"/>
    <x v="0"/>
    <x v="171"/>
    <x v="171"/>
    <x v="171"/>
    <x v="0"/>
  </r>
  <r>
    <x v="42"/>
    <x v="4"/>
    <x v="42"/>
    <x v="19"/>
    <x v="0"/>
    <x v="66"/>
    <x v="0"/>
    <x v="17"/>
    <x v="0"/>
    <x v="1"/>
    <x v="0"/>
    <x v="0"/>
    <x v="76"/>
    <x v="0"/>
    <x v="17"/>
    <x v="0"/>
    <x v="172"/>
    <x v="172"/>
    <x v="172"/>
    <x v="0"/>
  </r>
  <r>
    <x v="43"/>
    <x v="6"/>
    <x v="43"/>
    <x v="12"/>
    <x v="0"/>
    <x v="3"/>
    <x v="0"/>
    <x v="16"/>
    <x v="0"/>
    <x v="0"/>
    <x v="0"/>
    <x v="0"/>
    <x v="3"/>
    <x v="0"/>
    <x v="16"/>
    <x v="0"/>
    <x v="173"/>
    <x v="173"/>
    <x v="173"/>
    <x v="0"/>
  </r>
  <r>
    <x v="43"/>
    <x v="3"/>
    <x v="43"/>
    <x v="12"/>
    <x v="0"/>
    <x v="54"/>
    <x v="0"/>
    <x v="21"/>
    <x v="0"/>
    <x v="0"/>
    <x v="0"/>
    <x v="0"/>
    <x v="59"/>
    <x v="0"/>
    <x v="21"/>
    <x v="0"/>
    <x v="174"/>
    <x v="174"/>
    <x v="174"/>
    <x v="0"/>
  </r>
  <r>
    <x v="43"/>
    <x v="0"/>
    <x v="43"/>
    <x v="12"/>
    <x v="0"/>
    <x v="32"/>
    <x v="0"/>
    <x v="14"/>
    <x v="0"/>
    <x v="0"/>
    <x v="0"/>
    <x v="0"/>
    <x v="33"/>
    <x v="0"/>
    <x v="14"/>
    <x v="0"/>
    <x v="175"/>
    <x v="175"/>
    <x v="175"/>
    <x v="0"/>
  </r>
  <r>
    <x v="43"/>
    <x v="1"/>
    <x v="43"/>
    <x v="12"/>
    <x v="0"/>
    <x v="14"/>
    <x v="0"/>
    <x v="7"/>
    <x v="0"/>
    <x v="0"/>
    <x v="0"/>
    <x v="0"/>
    <x v="14"/>
    <x v="0"/>
    <x v="7"/>
    <x v="0"/>
    <x v="176"/>
    <x v="176"/>
    <x v="176"/>
    <x v="0"/>
  </r>
  <r>
    <x v="43"/>
    <x v="4"/>
    <x v="43"/>
    <x v="12"/>
    <x v="0"/>
    <x v="32"/>
    <x v="0"/>
    <x v="14"/>
    <x v="0"/>
    <x v="0"/>
    <x v="0"/>
    <x v="0"/>
    <x v="33"/>
    <x v="0"/>
    <x v="14"/>
    <x v="0"/>
    <x v="175"/>
    <x v="175"/>
    <x v="175"/>
    <x v="0"/>
  </r>
  <r>
    <x v="44"/>
    <x v="3"/>
    <x v="44"/>
    <x v="15"/>
    <x v="0"/>
    <x v="47"/>
    <x v="0"/>
    <x v="11"/>
    <x v="0"/>
    <x v="1"/>
    <x v="0"/>
    <x v="0"/>
    <x v="77"/>
    <x v="0"/>
    <x v="11"/>
    <x v="0"/>
    <x v="177"/>
    <x v="177"/>
    <x v="177"/>
    <x v="0"/>
  </r>
  <r>
    <x v="44"/>
    <x v="0"/>
    <x v="44"/>
    <x v="15"/>
    <x v="0"/>
    <x v="46"/>
    <x v="0"/>
    <x v="22"/>
    <x v="0"/>
    <x v="1"/>
    <x v="0"/>
    <x v="0"/>
    <x v="78"/>
    <x v="0"/>
    <x v="22"/>
    <x v="0"/>
    <x v="178"/>
    <x v="178"/>
    <x v="178"/>
    <x v="0"/>
  </r>
  <r>
    <x v="44"/>
    <x v="1"/>
    <x v="44"/>
    <x v="15"/>
    <x v="0"/>
    <x v="34"/>
    <x v="0"/>
    <x v="22"/>
    <x v="0"/>
    <x v="1"/>
    <x v="0"/>
    <x v="0"/>
    <x v="57"/>
    <x v="0"/>
    <x v="22"/>
    <x v="0"/>
    <x v="179"/>
    <x v="179"/>
    <x v="179"/>
    <x v="0"/>
  </r>
  <r>
    <x v="44"/>
    <x v="2"/>
    <x v="44"/>
    <x v="15"/>
    <x v="0"/>
    <x v="24"/>
    <x v="0"/>
    <x v="23"/>
    <x v="0"/>
    <x v="1"/>
    <x v="0"/>
    <x v="0"/>
    <x v="25"/>
    <x v="0"/>
    <x v="23"/>
    <x v="0"/>
    <x v="180"/>
    <x v="180"/>
    <x v="180"/>
    <x v="0"/>
  </r>
  <r>
    <x v="44"/>
    <x v="4"/>
    <x v="44"/>
    <x v="15"/>
    <x v="0"/>
    <x v="15"/>
    <x v="0"/>
    <x v="21"/>
    <x v="0"/>
    <x v="1"/>
    <x v="0"/>
    <x v="0"/>
    <x v="66"/>
    <x v="0"/>
    <x v="21"/>
    <x v="0"/>
    <x v="181"/>
    <x v="181"/>
    <x v="181"/>
    <x v="0"/>
  </r>
  <r>
    <x v="45"/>
    <x v="6"/>
    <x v="45"/>
    <x v="12"/>
    <x v="0"/>
    <x v="37"/>
    <x v="0"/>
    <x v="9"/>
    <x v="0"/>
    <x v="0"/>
    <x v="0"/>
    <x v="0"/>
    <x v="39"/>
    <x v="0"/>
    <x v="9"/>
    <x v="0"/>
    <x v="54"/>
    <x v="54"/>
    <x v="54"/>
    <x v="0"/>
  </r>
  <r>
    <x v="45"/>
    <x v="3"/>
    <x v="45"/>
    <x v="12"/>
    <x v="0"/>
    <x v="30"/>
    <x v="0"/>
    <x v="2"/>
    <x v="0"/>
    <x v="0"/>
    <x v="0"/>
    <x v="0"/>
    <x v="31"/>
    <x v="0"/>
    <x v="2"/>
    <x v="0"/>
    <x v="182"/>
    <x v="182"/>
    <x v="182"/>
    <x v="0"/>
  </r>
  <r>
    <x v="45"/>
    <x v="0"/>
    <x v="45"/>
    <x v="12"/>
    <x v="0"/>
    <x v="27"/>
    <x v="23"/>
    <x v="2"/>
    <x v="0"/>
    <x v="0"/>
    <x v="0"/>
    <x v="0"/>
    <x v="79"/>
    <x v="23"/>
    <x v="2"/>
    <x v="0"/>
    <x v="183"/>
    <x v="183"/>
    <x v="183"/>
    <x v="0"/>
  </r>
  <r>
    <x v="45"/>
    <x v="1"/>
    <x v="45"/>
    <x v="12"/>
    <x v="0"/>
    <x v="67"/>
    <x v="0"/>
    <x v="14"/>
    <x v="0"/>
    <x v="0"/>
    <x v="0"/>
    <x v="0"/>
    <x v="80"/>
    <x v="0"/>
    <x v="14"/>
    <x v="0"/>
    <x v="184"/>
    <x v="184"/>
    <x v="184"/>
    <x v="0"/>
  </r>
  <r>
    <x v="45"/>
    <x v="4"/>
    <x v="45"/>
    <x v="12"/>
    <x v="0"/>
    <x v="68"/>
    <x v="0"/>
    <x v="24"/>
    <x v="0"/>
    <x v="0"/>
    <x v="0"/>
    <x v="0"/>
    <x v="81"/>
    <x v="0"/>
    <x v="24"/>
    <x v="0"/>
    <x v="185"/>
    <x v="185"/>
    <x v="185"/>
    <x v="0"/>
  </r>
  <r>
    <x v="45"/>
    <x v="5"/>
    <x v="45"/>
    <x v="12"/>
    <x v="0"/>
    <x v="44"/>
    <x v="0"/>
    <x v="9"/>
    <x v="0"/>
    <x v="0"/>
    <x v="0"/>
    <x v="0"/>
    <x v="47"/>
    <x v="0"/>
    <x v="9"/>
    <x v="0"/>
    <x v="186"/>
    <x v="186"/>
    <x v="186"/>
    <x v="0"/>
  </r>
  <r>
    <x v="46"/>
    <x v="6"/>
    <x v="46"/>
    <x v="20"/>
    <x v="0"/>
    <x v="61"/>
    <x v="0"/>
    <x v="6"/>
    <x v="0"/>
    <x v="0"/>
    <x v="0"/>
    <x v="0"/>
    <x v="71"/>
    <x v="0"/>
    <x v="6"/>
    <x v="0"/>
    <x v="187"/>
    <x v="187"/>
    <x v="187"/>
    <x v="0"/>
  </r>
  <r>
    <x v="46"/>
    <x v="3"/>
    <x v="46"/>
    <x v="20"/>
    <x v="0"/>
    <x v="5"/>
    <x v="2"/>
    <x v="0"/>
    <x v="0"/>
    <x v="0"/>
    <x v="0"/>
    <x v="0"/>
    <x v="5"/>
    <x v="2"/>
    <x v="0"/>
    <x v="0"/>
    <x v="188"/>
    <x v="188"/>
    <x v="188"/>
    <x v="0"/>
  </r>
  <r>
    <x v="46"/>
    <x v="0"/>
    <x v="46"/>
    <x v="20"/>
    <x v="0"/>
    <x v="58"/>
    <x v="31"/>
    <x v="3"/>
    <x v="0"/>
    <x v="0"/>
    <x v="0"/>
    <x v="0"/>
    <x v="63"/>
    <x v="31"/>
    <x v="3"/>
    <x v="0"/>
    <x v="189"/>
    <x v="189"/>
    <x v="189"/>
    <x v="0"/>
  </r>
  <r>
    <x v="46"/>
    <x v="2"/>
    <x v="46"/>
    <x v="20"/>
    <x v="0"/>
    <x v="12"/>
    <x v="17"/>
    <x v="10"/>
    <x v="0"/>
    <x v="0"/>
    <x v="0"/>
    <x v="0"/>
    <x v="12"/>
    <x v="17"/>
    <x v="10"/>
    <x v="0"/>
    <x v="190"/>
    <x v="190"/>
    <x v="190"/>
    <x v="0"/>
  </r>
  <r>
    <x v="46"/>
    <x v="4"/>
    <x v="46"/>
    <x v="20"/>
    <x v="0"/>
    <x v="41"/>
    <x v="30"/>
    <x v="19"/>
    <x v="0"/>
    <x v="0"/>
    <x v="0"/>
    <x v="0"/>
    <x v="43"/>
    <x v="30"/>
    <x v="19"/>
    <x v="0"/>
    <x v="191"/>
    <x v="191"/>
    <x v="191"/>
    <x v="0"/>
  </r>
  <r>
    <x v="46"/>
    <x v="5"/>
    <x v="46"/>
    <x v="20"/>
    <x v="0"/>
    <x v="65"/>
    <x v="0"/>
    <x v="11"/>
    <x v="0"/>
    <x v="0"/>
    <x v="0"/>
    <x v="0"/>
    <x v="75"/>
    <x v="0"/>
    <x v="11"/>
    <x v="0"/>
    <x v="192"/>
    <x v="192"/>
    <x v="192"/>
    <x v="0"/>
  </r>
  <r>
    <x v="47"/>
    <x v="1"/>
    <x v="47"/>
    <x v="4"/>
    <x v="0"/>
    <x v="60"/>
    <x v="0"/>
    <x v="11"/>
    <x v="0"/>
    <x v="0"/>
    <x v="0"/>
    <x v="0"/>
    <x v="65"/>
    <x v="0"/>
    <x v="11"/>
    <x v="0"/>
    <x v="193"/>
    <x v="193"/>
    <x v="193"/>
    <x v="0"/>
  </r>
  <r>
    <x v="47"/>
    <x v="2"/>
    <x v="47"/>
    <x v="4"/>
    <x v="0"/>
    <x v="57"/>
    <x v="0"/>
    <x v="11"/>
    <x v="0"/>
    <x v="0"/>
    <x v="0"/>
    <x v="0"/>
    <x v="62"/>
    <x v="0"/>
    <x v="11"/>
    <x v="0"/>
    <x v="194"/>
    <x v="194"/>
    <x v="194"/>
    <x v="0"/>
  </r>
  <r>
    <x v="48"/>
    <x v="6"/>
    <x v="48"/>
    <x v="2"/>
    <x v="0"/>
    <x v="6"/>
    <x v="0"/>
    <x v="1"/>
    <x v="0"/>
    <x v="0"/>
    <x v="0"/>
    <x v="0"/>
    <x v="6"/>
    <x v="0"/>
    <x v="1"/>
    <x v="0"/>
    <x v="195"/>
    <x v="195"/>
    <x v="195"/>
    <x v="0"/>
  </r>
  <r>
    <x v="48"/>
    <x v="3"/>
    <x v="48"/>
    <x v="2"/>
    <x v="0"/>
    <x v="10"/>
    <x v="0"/>
    <x v="6"/>
    <x v="0"/>
    <x v="0"/>
    <x v="0"/>
    <x v="0"/>
    <x v="10"/>
    <x v="0"/>
    <x v="6"/>
    <x v="0"/>
    <x v="196"/>
    <x v="196"/>
    <x v="196"/>
    <x v="0"/>
  </r>
  <r>
    <x v="48"/>
    <x v="0"/>
    <x v="48"/>
    <x v="2"/>
    <x v="0"/>
    <x v="10"/>
    <x v="0"/>
    <x v="14"/>
    <x v="0"/>
    <x v="0"/>
    <x v="0"/>
    <x v="0"/>
    <x v="10"/>
    <x v="0"/>
    <x v="14"/>
    <x v="0"/>
    <x v="197"/>
    <x v="197"/>
    <x v="197"/>
    <x v="0"/>
  </r>
  <r>
    <x v="48"/>
    <x v="1"/>
    <x v="48"/>
    <x v="2"/>
    <x v="0"/>
    <x v="14"/>
    <x v="0"/>
    <x v="12"/>
    <x v="0"/>
    <x v="0"/>
    <x v="0"/>
    <x v="0"/>
    <x v="14"/>
    <x v="0"/>
    <x v="12"/>
    <x v="0"/>
    <x v="53"/>
    <x v="53"/>
    <x v="53"/>
    <x v="0"/>
  </r>
  <r>
    <x v="48"/>
    <x v="4"/>
    <x v="48"/>
    <x v="2"/>
    <x v="0"/>
    <x v="41"/>
    <x v="0"/>
    <x v="0"/>
    <x v="0"/>
    <x v="0"/>
    <x v="0"/>
    <x v="0"/>
    <x v="43"/>
    <x v="0"/>
    <x v="0"/>
    <x v="0"/>
    <x v="135"/>
    <x v="135"/>
    <x v="135"/>
    <x v="0"/>
  </r>
  <r>
    <x v="48"/>
    <x v="5"/>
    <x v="48"/>
    <x v="2"/>
    <x v="0"/>
    <x v="9"/>
    <x v="0"/>
    <x v="11"/>
    <x v="0"/>
    <x v="0"/>
    <x v="0"/>
    <x v="0"/>
    <x v="9"/>
    <x v="0"/>
    <x v="11"/>
    <x v="0"/>
    <x v="198"/>
    <x v="198"/>
    <x v="198"/>
    <x v="0"/>
  </r>
  <r>
    <x v="49"/>
    <x v="6"/>
    <x v="49"/>
    <x v="21"/>
    <x v="3"/>
    <x v="17"/>
    <x v="0"/>
    <x v="11"/>
    <x v="0"/>
    <x v="0"/>
    <x v="0"/>
    <x v="0"/>
    <x v="17"/>
    <x v="0"/>
    <x v="11"/>
    <x v="0"/>
    <x v="42"/>
    <x v="42"/>
    <x v="42"/>
    <x v="0"/>
  </r>
  <r>
    <x v="49"/>
    <x v="3"/>
    <x v="49"/>
    <x v="21"/>
    <x v="3"/>
    <x v="4"/>
    <x v="0"/>
    <x v="8"/>
    <x v="0"/>
    <x v="0"/>
    <x v="0"/>
    <x v="0"/>
    <x v="4"/>
    <x v="0"/>
    <x v="8"/>
    <x v="0"/>
    <x v="60"/>
    <x v="60"/>
    <x v="60"/>
    <x v="0"/>
  </r>
  <r>
    <x v="49"/>
    <x v="0"/>
    <x v="49"/>
    <x v="21"/>
    <x v="3"/>
    <x v="19"/>
    <x v="0"/>
    <x v="11"/>
    <x v="0"/>
    <x v="0"/>
    <x v="0"/>
    <x v="0"/>
    <x v="19"/>
    <x v="0"/>
    <x v="11"/>
    <x v="0"/>
    <x v="67"/>
    <x v="67"/>
    <x v="67"/>
    <x v="0"/>
  </r>
  <r>
    <x v="49"/>
    <x v="1"/>
    <x v="49"/>
    <x v="21"/>
    <x v="3"/>
    <x v="17"/>
    <x v="0"/>
    <x v="11"/>
    <x v="0"/>
    <x v="0"/>
    <x v="0"/>
    <x v="0"/>
    <x v="17"/>
    <x v="0"/>
    <x v="11"/>
    <x v="0"/>
    <x v="42"/>
    <x v="42"/>
    <x v="42"/>
    <x v="0"/>
  </r>
  <r>
    <x v="49"/>
    <x v="2"/>
    <x v="49"/>
    <x v="21"/>
    <x v="3"/>
    <x v="17"/>
    <x v="0"/>
    <x v="11"/>
    <x v="0"/>
    <x v="0"/>
    <x v="0"/>
    <x v="0"/>
    <x v="17"/>
    <x v="0"/>
    <x v="11"/>
    <x v="0"/>
    <x v="42"/>
    <x v="42"/>
    <x v="42"/>
    <x v="0"/>
  </r>
  <r>
    <x v="49"/>
    <x v="4"/>
    <x v="49"/>
    <x v="21"/>
    <x v="3"/>
    <x v="17"/>
    <x v="0"/>
    <x v="11"/>
    <x v="0"/>
    <x v="0"/>
    <x v="0"/>
    <x v="0"/>
    <x v="17"/>
    <x v="0"/>
    <x v="11"/>
    <x v="0"/>
    <x v="42"/>
    <x v="42"/>
    <x v="42"/>
    <x v="0"/>
  </r>
  <r>
    <x v="49"/>
    <x v="5"/>
    <x v="49"/>
    <x v="21"/>
    <x v="3"/>
    <x v="17"/>
    <x v="0"/>
    <x v="11"/>
    <x v="0"/>
    <x v="0"/>
    <x v="0"/>
    <x v="0"/>
    <x v="17"/>
    <x v="0"/>
    <x v="11"/>
    <x v="0"/>
    <x v="42"/>
    <x v="42"/>
    <x v="42"/>
    <x v="0"/>
  </r>
  <r>
    <x v="50"/>
    <x v="4"/>
    <x v="50"/>
    <x v="20"/>
    <x v="0"/>
    <x v="35"/>
    <x v="18"/>
    <x v="4"/>
    <x v="0"/>
    <x v="0"/>
    <x v="0"/>
    <x v="0"/>
    <x v="37"/>
    <x v="18"/>
    <x v="4"/>
    <x v="0"/>
    <x v="199"/>
    <x v="199"/>
    <x v="199"/>
    <x v="0"/>
  </r>
  <r>
    <x v="50"/>
    <x v="5"/>
    <x v="50"/>
    <x v="20"/>
    <x v="0"/>
    <x v="3"/>
    <x v="0"/>
    <x v="0"/>
    <x v="0"/>
    <x v="0"/>
    <x v="0"/>
    <x v="0"/>
    <x v="3"/>
    <x v="0"/>
    <x v="0"/>
    <x v="0"/>
    <x v="200"/>
    <x v="200"/>
    <x v="200"/>
    <x v="0"/>
  </r>
  <r>
    <x v="51"/>
    <x v="3"/>
    <x v="51"/>
    <x v="0"/>
    <x v="0"/>
    <x v="19"/>
    <x v="11"/>
    <x v="11"/>
    <x v="0"/>
    <x v="0"/>
    <x v="0"/>
    <x v="0"/>
    <x v="19"/>
    <x v="11"/>
    <x v="11"/>
    <x v="0"/>
    <x v="201"/>
    <x v="201"/>
    <x v="201"/>
    <x v="0"/>
  </r>
  <r>
    <x v="51"/>
    <x v="0"/>
    <x v="51"/>
    <x v="0"/>
    <x v="0"/>
    <x v="17"/>
    <x v="26"/>
    <x v="8"/>
    <x v="0"/>
    <x v="0"/>
    <x v="0"/>
    <x v="0"/>
    <x v="17"/>
    <x v="26"/>
    <x v="8"/>
    <x v="0"/>
    <x v="202"/>
    <x v="202"/>
    <x v="202"/>
    <x v="0"/>
  </r>
  <r>
    <x v="51"/>
    <x v="1"/>
    <x v="51"/>
    <x v="0"/>
    <x v="0"/>
    <x v="17"/>
    <x v="1"/>
    <x v="11"/>
    <x v="0"/>
    <x v="0"/>
    <x v="0"/>
    <x v="0"/>
    <x v="17"/>
    <x v="1"/>
    <x v="11"/>
    <x v="0"/>
    <x v="203"/>
    <x v="203"/>
    <x v="203"/>
    <x v="0"/>
  </r>
  <r>
    <x v="51"/>
    <x v="2"/>
    <x v="51"/>
    <x v="0"/>
    <x v="0"/>
    <x v="19"/>
    <x v="13"/>
    <x v="11"/>
    <x v="0"/>
    <x v="0"/>
    <x v="0"/>
    <x v="0"/>
    <x v="19"/>
    <x v="13"/>
    <x v="11"/>
    <x v="0"/>
    <x v="121"/>
    <x v="121"/>
    <x v="121"/>
    <x v="0"/>
  </r>
  <r>
    <x v="51"/>
    <x v="4"/>
    <x v="51"/>
    <x v="0"/>
    <x v="0"/>
    <x v="17"/>
    <x v="31"/>
    <x v="10"/>
    <x v="0"/>
    <x v="0"/>
    <x v="0"/>
    <x v="0"/>
    <x v="17"/>
    <x v="31"/>
    <x v="10"/>
    <x v="0"/>
    <x v="204"/>
    <x v="204"/>
    <x v="204"/>
    <x v="0"/>
  </r>
  <r>
    <x v="51"/>
    <x v="5"/>
    <x v="51"/>
    <x v="0"/>
    <x v="0"/>
    <x v="17"/>
    <x v="31"/>
    <x v="16"/>
    <x v="0"/>
    <x v="0"/>
    <x v="0"/>
    <x v="0"/>
    <x v="17"/>
    <x v="31"/>
    <x v="16"/>
    <x v="0"/>
    <x v="205"/>
    <x v="205"/>
    <x v="205"/>
    <x v="0"/>
  </r>
  <r>
    <x v="52"/>
    <x v="6"/>
    <x v="52"/>
    <x v="6"/>
    <x v="0"/>
    <x v="16"/>
    <x v="22"/>
    <x v="8"/>
    <x v="0"/>
    <x v="0"/>
    <x v="0"/>
    <x v="0"/>
    <x v="16"/>
    <x v="22"/>
    <x v="8"/>
    <x v="0"/>
    <x v="149"/>
    <x v="149"/>
    <x v="149"/>
    <x v="0"/>
  </r>
  <r>
    <x v="52"/>
    <x v="1"/>
    <x v="52"/>
    <x v="6"/>
    <x v="0"/>
    <x v="17"/>
    <x v="0"/>
    <x v="11"/>
    <x v="0"/>
    <x v="0"/>
    <x v="0"/>
    <x v="0"/>
    <x v="17"/>
    <x v="0"/>
    <x v="11"/>
    <x v="0"/>
    <x v="42"/>
    <x v="42"/>
    <x v="42"/>
    <x v="0"/>
  </r>
  <r>
    <x v="53"/>
    <x v="6"/>
    <x v="53"/>
    <x v="6"/>
    <x v="0"/>
    <x v="0"/>
    <x v="0"/>
    <x v="10"/>
    <x v="0"/>
    <x v="0"/>
    <x v="0"/>
    <x v="0"/>
    <x v="0"/>
    <x v="0"/>
    <x v="10"/>
    <x v="0"/>
    <x v="120"/>
    <x v="120"/>
    <x v="120"/>
    <x v="0"/>
  </r>
  <r>
    <x v="53"/>
    <x v="2"/>
    <x v="53"/>
    <x v="6"/>
    <x v="0"/>
    <x v="1"/>
    <x v="0"/>
    <x v="0"/>
    <x v="0"/>
    <x v="0"/>
    <x v="0"/>
    <x v="0"/>
    <x v="1"/>
    <x v="0"/>
    <x v="0"/>
    <x v="0"/>
    <x v="1"/>
    <x v="1"/>
    <x v="1"/>
    <x v="0"/>
  </r>
  <r>
    <x v="53"/>
    <x v="5"/>
    <x v="53"/>
    <x v="6"/>
    <x v="0"/>
    <x v="43"/>
    <x v="0"/>
    <x v="7"/>
    <x v="0"/>
    <x v="0"/>
    <x v="0"/>
    <x v="0"/>
    <x v="46"/>
    <x v="0"/>
    <x v="7"/>
    <x v="0"/>
    <x v="206"/>
    <x v="206"/>
    <x v="206"/>
    <x v="0"/>
  </r>
  <r>
    <x v="54"/>
    <x v="0"/>
    <x v="54"/>
    <x v="6"/>
    <x v="0"/>
    <x v="17"/>
    <x v="12"/>
    <x v="11"/>
    <x v="0"/>
    <x v="0"/>
    <x v="0"/>
    <x v="0"/>
    <x v="17"/>
    <x v="12"/>
    <x v="11"/>
    <x v="0"/>
    <x v="207"/>
    <x v="207"/>
    <x v="207"/>
    <x v="0"/>
  </r>
  <r>
    <x v="54"/>
    <x v="5"/>
    <x v="54"/>
    <x v="6"/>
    <x v="0"/>
    <x v="0"/>
    <x v="0"/>
    <x v="0"/>
    <x v="0"/>
    <x v="0"/>
    <x v="0"/>
    <x v="0"/>
    <x v="0"/>
    <x v="0"/>
    <x v="0"/>
    <x v="0"/>
    <x v="0"/>
    <x v="0"/>
    <x v="0"/>
    <x v="0"/>
  </r>
  <r>
    <x v="55"/>
    <x v="6"/>
    <x v="55"/>
    <x v="6"/>
    <x v="0"/>
    <x v="12"/>
    <x v="0"/>
    <x v="16"/>
    <x v="0"/>
    <x v="0"/>
    <x v="0"/>
    <x v="0"/>
    <x v="12"/>
    <x v="0"/>
    <x v="16"/>
    <x v="0"/>
    <x v="208"/>
    <x v="208"/>
    <x v="208"/>
    <x v="0"/>
  </r>
  <r>
    <x v="55"/>
    <x v="3"/>
    <x v="55"/>
    <x v="6"/>
    <x v="0"/>
    <x v="8"/>
    <x v="0"/>
    <x v="8"/>
    <x v="0"/>
    <x v="0"/>
    <x v="0"/>
    <x v="0"/>
    <x v="8"/>
    <x v="0"/>
    <x v="8"/>
    <x v="0"/>
    <x v="209"/>
    <x v="209"/>
    <x v="209"/>
    <x v="0"/>
  </r>
  <r>
    <x v="55"/>
    <x v="0"/>
    <x v="55"/>
    <x v="6"/>
    <x v="0"/>
    <x v="15"/>
    <x v="0"/>
    <x v="0"/>
    <x v="0"/>
    <x v="0"/>
    <x v="0"/>
    <x v="0"/>
    <x v="15"/>
    <x v="0"/>
    <x v="0"/>
    <x v="0"/>
    <x v="142"/>
    <x v="142"/>
    <x v="142"/>
    <x v="0"/>
  </r>
  <r>
    <x v="55"/>
    <x v="1"/>
    <x v="55"/>
    <x v="6"/>
    <x v="0"/>
    <x v="11"/>
    <x v="0"/>
    <x v="12"/>
    <x v="0"/>
    <x v="0"/>
    <x v="0"/>
    <x v="0"/>
    <x v="11"/>
    <x v="0"/>
    <x v="12"/>
    <x v="0"/>
    <x v="210"/>
    <x v="210"/>
    <x v="210"/>
    <x v="0"/>
  </r>
  <r>
    <x v="55"/>
    <x v="2"/>
    <x v="55"/>
    <x v="6"/>
    <x v="0"/>
    <x v="7"/>
    <x v="0"/>
    <x v="3"/>
    <x v="0"/>
    <x v="0"/>
    <x v="0"/>
    <x v="0"/>
    <x v="7"/>
    <x v="0"/>
    <x v="3"/>
    <x v="0"/>
    <x v="211"/>
    <x v="211"/>
    <x v="211"/>
    <x v="0"/>
  </r>
  <r>
    <x v="55"/>
    <x v="4"/>
    <x v="55"/>
    <x v="6"/>
    <x v="0"/>
    <x v="64"/>
    <x v="0"/>
    <x v="9"/>
    <x v="0"/>
    <x v="0"/>
    <x v="0"/>
    <x v="0"/>
    <x v="74"/>
    <x v="0"/>
    <x v="9"/>
    <x v="0"/>
    <x v="188"/>
    <x v="188"/>
    <x v="188"/>
    <x v="0"/>
  </r>
  <r>
    <x v="55"/>
    <x v="5"/>
    <x v="55"/>
    <x v="6"/>
    <x v="0"/>
    <x v="46"/>
    <x v="0"/>
    <x v="1"/>
    <x v="0"/>
    <x v="0"/>
    <x v="0"/>
    <x v="0"/>
    <x v="49"/>
    <x v="0"/>
    <x v="1"/>
    <x v="0"/>
    <x v="212"/>
    <x v="212"/>
    <x v="212"/>
    <x v="0"/>
  </r>
  <r>
    <x v="56"/>
    <x v="6"/>
    <x v="56"/>
    <x v="8"/>
    <x v="0"/>
    <x v="44"/>
    <x v="0"/>
    <x v="17"/>
    <x v="0"/>
    <x v="0"/>
    <x v="0"/>
    <x v="0"/>
    <x v="47"/>
    <x v="0"/>
    <x v="17"/>
    <x v="0"/>
    <x v="77"/>
    <x v="77"/>
    <x v="77"/>
    <x v="0"/>
  </r>
  <r>
    <x v="56"/>
    <x v="3"/>
    <x v="56"/>
    <x v="8"/>
    <x v="0"/>
    <x v="19"/>
    <x v="0"/>
    <x v="11"/>
    <x v="0"/>
    <x v="0"/>
    <x v="0"/>
    <x v="0"/>
    <x v="19"/>
    <x v="0"/>
    <x v="11"/>
    <x v="0"/>
    <x v="67"/>
    <x v="67"/>
    <x v="67"/>
    <x v="0"/>
  </r>
  <r>
    <x v="56"/>
    <x v="1"/>
    <x v="56"/>
    <x v="8"/>
    <x v="0"/>
    <x v="17"/>
    <x v="0"/>
    <x v="11"/>
    <x v="0"/>
    <x v="0"/>
    <x v="0"/>
    <x v="0"/>
    <x v="17"/>
    <x v="0"/>
    <x v="11"/>
    <x v="0"/>
    <x v="42"/>
    <x v="42"/>
    <x v="42"/>
    <x v="0"/>
  </r>
  <r>
    <x v="56"/>
    <x v="4"/>
    <x v="56"/>
    <x v="8"/>
    <x v="0"/>
    <x v="13"/>
    <x v="0"/>
    <x v="11"/>
    <x v="0"/>
    <x v="0"/>
    <x v="0"/>
    <x v="0"/>
    <x v="13"/>
    <x v="0"/>
    <x v="11"/>
    <x v="0"/>
    <x v="213"/>
    <x v="213"/>
    <x v="213"/>
    <x v="0"/>
  </r>
  <r>
    <x v="56"/>
    <x v="5"/>
    <x v="56"/>
    <x v="8"/>
    <x v="0"/>
    <x v="10"/>
    <x v="0"/>
    <x v="7"/>
    <x v="0"/>
    <x v="0"/>
    <x v="0"/>
    <x v="0"/>
    <x v="10"/>
    <x v="0"/>
    <x v="7"/>
    <x v="0"/>
    <x v="214"/>
    <x v="214"/>
    <x v="214"/>
    <x v="0"/>
  </r>
  <r>
    <x v="57"/>
    <x v="0"/>
    <x v="57"/>
    <x v="22"/>
    <x v="0"/>
    <x v="15"/>
    <x v="0"/>
    <x v="10"/>
    <x v="0"/>
    <x v="0"/>
    <x v="0"/>
    <x v="0"/>
    <x v="15"/>
    <x v="0"/>
    <x v="10"/>
    <x v="0"/>
    <x v="18"/>
    <x v="18"/>
    <x v="18"/>
    <x v="0"/>
  </r>
  <r>
    <x v="57"/>
    <x v="1"/>
    <x v="57"/>
    <x v="22"/>
    <x v="0"/>
    <x v="1"/>
    <x v="0"/>
    <x v="0"/>
    <x v="0"/>
    <x v="0"/>
    <x v="0"/>
    <x v="0"/>
    <x v="1"/>
    <x v="0"/>
    <x v="0"/>
    <x v="0"/>
    <x v="1"/>
    <x v="1"/>
    <x v="1"/>
    <x v="0"/>
  </r>
  <r>
    <x v="57"/>
    <x v="2"/>
    <x v="57"/>
    <x v="22"/>
    <x v="0"/>
    <x v="1"/>
    <x v="0"/>
    <x v="9"/>
    <x v="0"/>
    <x v="0"/>
    <x v="0"/>
    <x v="0"/>
    <x v="1"/>
    <x v="0"/>
    <x v="9"/>
    <x v="0"/>
    <x v="215"/>
    <x v="215"/>
    <x v="215"/>
    <x v="0"/>
  </r>
  <r>
    <x v="57"/>
    <x v="4"/>
    <x v="57"/>
    <x v="22"/>
    <x v="0"/>
    <x v="22"/>
    <x v="0"/>
    <x v="10"/>
    <x v="0"/>
    <x v="0"/>
    <x v="0"/>
    <x v="0"/>
    <x v="22"/>
    <x v="0"/>
    <x v="10"/>
    <x v="0"/>
    <x v="88"/>
    <x v="88"/>
    <x v="88"/>
    <x v="0"/>
  </r>
  <r>
    <x v="57"/>
    <x v="5"/>
    <x v="57"/>
    <x v="22"/>
    <x v="0"/>
    <x v="15"/>
    <x v="0"/>
    <x v="7"/>
    <x v="0"/>
    <x v="0"/>
    <x v="0"/>
    <x v="0"/>
    <x v="15"/>
    <x v="0"/>
    <x v="7"/>
    <x v="0"/>
    <x v="216"/>
    <x v="216"/>
    <x v="216"/>
    <x v="0"/>
  </r>
  <r>
    <x v="58"/>
    <x v="3"/>
    <x v="58"/>
    <x v="6"/>
    <x v="0"/>
    <x v="17"/>
    <x v="0"/>
    <x v="11"/>
    <x v="0"/>
    <x v="0"/>
    <x v="0"/>
    <x v="0"/>
    <x v="17"/>
    <x v="0"/>
    <x v="11"/>
    <x v="0"/>
    <x v="42"/>
    <x v="42"/>
    <x v="42"/>
    <x v="0"/>
  </r>
  <r>
    <x v="58"/>
    <x v="0"/>
    <x v="58"/>
    <x v="6"/>
    <x v="0"/>
    <x v="20"/>
    <x v="0"/>
    <x v="6"/>
    <x v="0"/>
    <x v="0"/>
    <x v="0"/>
    <x v="0"/>
    <x v="20"/>
    <x v="0"/>
    <x v="6"/>
    <x v="0"/>
    <x v="217"/>
    <x v="217"/>
    <x v="217"/>
    <x v="0"/>
  </r>
  <r>
    <x v="58"/>
    <x v="2"/>
    <x v="58"/>
    <x v="6"/>
    <x v="0"/>
    <x v="65"/>
    <x v="0"/>
    <x v="11"/>
    <x v="0"/>
    <x v="0"/>
    <x v="0"/>
    <x v="0"/>
    <x v="75"/>
    <x v="0"/>
    <x v="11"/>
    <x v="0"/>
    <x v="192"/>
    <x v="192"/>
    <x v="192"/>
    <x v="0"/>
  </r>
  <r>
    <x v="58"/>
    <x v="4"/>
    <x v="58"/>
    <x v="6"/>
    <x v="0"/>
    <x v="2"/>
    <x v="0"/>
    <x v="6"/>
    <x v="0"/>
    <x v="0"/>
    <x v="0"/>
    <x v="0"/>
    <x v="2"/>
    <x v="0"/>
    <x v="6"/>
    <x v="0"/>
    <x v="218"/>
    <x v="218"/>
    <x v="218"/>
    <x v="0"/>
  </r>
  <r>
    <x v="58"/>
    <x v="5"/>
    <x v="58"/>
    <x v="6"/>
    <x v="0"/>
    <x v="59"/>
    <x v="0"/>
    <x v="1"/>
    <x v="0"/>
    <x v="0"/>
    <x v="0"/>
    <x v="0"/>
    <x v="64"/>
    <x v="0"/>
    <x v="1"/>
    <x v="0"/>
    <x v="219"/>
    <x v="219"/>
    <x v="219"/>
    <x v="0"/>
  </r>
  <r>
    <x v="59"/>
    <x v="6"/>
    <x v="59"/>
    <x v="8"/>
    <x v="0"/>
    <x v="31"/>
    <x v="0"/>
    <x v="8"/>
    <x v="0"/>
    <x v="0"/>
    <x v="0"/>
    <x v="0"/>
    <x v="32"/>
    <x v="0"/>
    <x v="8"/>
    <x v="0"/>
    <x v="220"/>
    <x v="220"/>
    <x v="220"/>
    <x v="0"/>
  </r>
  <r>
    <x v="59"/>
    <x v="0"/>
    <x v="59"/>
    <x v="8"/>
    <x v="0"/>
    <x v="3"/>
    <x v="6"/>
    <x v="9"/>
    <x v="0"/>
    <x v="0"/>
    <x v="0"/>
    <x v="0"/>
    <x v="3"/>
    <x v="6"/>
    <x v="9"/>
    <x v="0"/>
    <x v="221"/>
    <x v="221"/>
    <x v="221"/>
    <x v="0"/>
  </r>
  <r>
    <x v="59"/>
    <x v="1"/>
    <x v="59"/>
    <x v="8"/>
    <x v="0"/>
    <x v="10"/>
    <x v="0"/>
    <x v="16"/>
    <x v="0"/>
    <x v="0"/>
    <x v="0"/>
    <x v="0"/>
    <x v="10"/>
    <x v="0"/>
    <x v="16"/>
    <x v="0"/>
    <x v="222"/>
    <x v="222"/>
    <x v="222"/>
    <x v="0"/>
  </r>
  <r>
    <x v="59"/>
    <x v="2"/>
    <x v="59"/>
    <x v="8"/>
    <x v="0"/>
    <x v="28"/>
    <x v="0"/>
    <x v="3"/>
    <x v="0"/>
    <x v="0"/>
    <x v="0"/>
    <x v="0"/>
    <x v="44"/>
    <x v="0"/>
    <x v="3"/>
    <x v="0"/>
    <x v="65"/>
    <x v="65"/>
    <x v="65"/>
    <x v="0"/>
  </r>
  <r>
    <x v="59"/>
    <x v="4"/>
    <x v="59"/>
    <x v="8"/>
    <x v="0"/>
    <x v="10"/>
    <x v="9"/>
    <x v="8"/>
    <x v="0"/>
    <x v="0"/>
    <x v="0"/>
    <x v="0"/>
    <x v="10"/>
    <x v="9"/>
    <x v="8"/>
    <x v="0"/>
    <x v="223"/>
    <x v="223"/>
    <x v="223"/>
    <x v="0"/>
  </r>
  <r>
    <x v="59"/>
    <x v="5"/>
    <x v="59"/>
    <x v="8"/>
    <x v="0"/>
    <x v="44"/>
    <x v="1"/>
    <x v="13"/>
    <x v="0"/>
    <x v="0"/>
    <x v="0"/>
    <x v="0"/>
    <x v="47"/>
    <x v="1"/>
    <x v="13"/>
    <x v="0"/>
    <x v="224"/>
    <x v="224"/>
    <x v="224"/>
    <x v="0"/>
  </r>
  <r>
    <x v="60"/>
    <x v="6"/>
    <x v="60"/>
    <x v="23"/>
    <x v="0"/>
    <x v="9"/>
    <x v="0"/>
    <x v="6"/>
    <x v="0"/>
    <x v="0"/>
    <x v="0"/>
    <x v="0"/>
    <x v="9"/>
    <x v="0"/>
    <x v="6"/>
    <x v="0"/>
    <x v="87"/>
    <x v="87"/>
    <x v="87"/>
    <x v="0"/>
  </r>
  <r>
    <x v="60"/>
    <x v="3"/>
    <x v="60"/>
    <x v="23"/>
    <x v="0"/>
    <x v="9"/>
    <x v="0"/>
    <x v="4"/>
    <x v="0"/>
    <x v="0"/>
    <x v="0"/>
    <x v="0"/>
    <x v="9"/>
    <x v="0"/>
    <x v="4"/>
    <x v="0"/>
    <x v="225"/>
    <x v="225"/>
    <x v="225"/>
    <x v="0"/>
  </r>
  <r>
    <x v="60"/>
    <x v="1"/>
    <x v="60"/>
    <x v="23"/>
    <x v="0"/>
    <x v="20"/>
    <x v="26"/>
    <x v="1"/>
    <x v="0"/>
    <x v="0"/>
    <x v="0"/>
    <x v="0"/>
    <x v="20"/>
    <x v="26"/>
    <x v="1"/>
    <x v="0"/>
    <x v="99"/>
    <x v="99"/>
    <x v="99"/>
    <x v="0"/>
  </r>
  <r>
    <x v="60"/>
    <x v="2"/>
    <x v="60"/>
    <x v="23"/>
    <x v="0"/>
    <x v="17"/>
    <x v="13"/>
    <x v="12"/>
    <x v="0"/>
    <x v="0"/>
    <x v="0"/>
    <x v="0"/>
    <x v="17"/>
    <x v="13"/>
    <x v="12"/>
    <x v="0"/>
    <x v="226"/>
    <x v="226"/>
    <x v="226"/>
    <x v="0"/>
  </r>
  <r>
    <x v="60"/>
    <x v="4"/>
    <x v="60"/>
    <x v="23"/>
    <x v="0"/>
    <x v="17"/>
    <x v="31"/>
    <x v="8"/>
    <x v="0"/>
    <x v="0"/>
    <x v="0"/>
    <x v="0"/>
    <x v="17"/>
    <x v="31"/>
    <x v="8"/>
    <x v="0"/>
    <x v="18"/>
    <x v="18"/>
    <x v="18"/>
    <x v="0"/>
  </r>
  <r>
    <x v="61"/>
    <x v="6"/>
    <x v="61"/>
    <x v="6"/>
    <x v="0"/>
    <x v="53"/>
    <x v="0"/>
    <x v="0"/>
    <x v="0"/>
    <x v="0"/>
    <x v="0"/>
    <x v="0"/>
    <x v="58"/>
    <x v="0"/>
    <x v="0"/>
    <x v="0"/>
    <x v="227"/>
    <x v="227"/>
    <x v="227"/>
    <x v="0"/>
  </r>
  <r>
    <x v="61"/>
    <x v="3"/>
    <x v="61"/>
    <x v="6"/>
    <x v="0"/>
    <x v="58"/>
    <x v="0"/>
    <x v="1"/>
    <x v="0"/>
    <x v="0"/>
    <x v="0"/>
    <x v="0"/>
    <x v="63"/>
    <x v="0"/>
    <x v="1"/>
    <x v="0"/>
    <x v="118"/>
    <x v="118"/>
    <x v="118"/>
    <x v="0"/>
  </r>
  <r>
    <x v="61"/>
    <x v="0"/>
    <x v="61"/>
    <x v="6"/>
    <x v="0"/>
    <x v="37"/>
    <x v="23"/>
    <x v="6"/>
    <x v="0"/>
    <x v="0"/>
    <x v="0"/>
    <x v="0"/>
    <x v="39"/>
    <x v="23"/>
    <x v="6"/>
    <x v="0"/>
    <x v="228"/>
    <x v="228"/>
    <x v="228"/>
    <x v="0"/>
  </r>
  <r>
    <x v="61"/>
    <x v="1"/>
    <x v="61"/>
    <x v="6"/>
    <x v="0"/>
    <x v="53"/>
    <x v="13"/>
    <x v="3"/>
    <x v="0"/>
    <x v="0"/>
    <x v="0"/>
    <x v="0"/>
    <x v="58"/>
    <x v="13"/>
    <x v="3"/>
    <x v="0"/>
    <x v="166"/>
    <x v="166"/>
    <x v="166"/>
    <x v="0"/>
  </r>
  <r>
    <x v="61"/>
    <x v="2"/>
    <x v="61"/>
    <x v="6"/>
    <x v="0"/>
    <x v="22"/>
    <x v="0"/>
    <x v="8"/>
    <x v="0"/>
    <x v="0"/>
    <x v="0"/>
    <x v="0"/>
    <x v="22"/>
    <x v="0"/>
    <x v="8"/>
    <x v="0"/>
    <x v="229"/>
    <x v="229"/>
    <x v="229"/>
    <x v="0"/>
  </r>
  <r>
    <x v="61"/>
    <x v="4"/>
    <x v="61"/>
    <x v="6"/>
    <x v="0"/>
    <x v="61"/>
    <x v="0"/>
    <x v="1"/>
    <x v="0"/>
    <x v="0"/>
    <x v="0"/>
    <x v="0"/>
    <x v="71"/>
    <x v="0"/>
    <x v="1"/>
    <x v="0"/>
    <x v="154"/>
    <x v="154"/>
    <x v="154"/>
    <x v="0"/>
  </r>
  <r>
    <x v="61"/>
    <x v="5"/>
    <x v="61"/>
    <x v="6"/>
    <x v="0"/>
    <x v="61"/>
    <x v="0"/>
    <x v="6"/>
    <x v="0"/>
    <x v="0"/>
    <x v="0"/>
    <x v="0"/>
    <x v="71"/>
    <x v="0"/>
    <x v="6"/>
    <x v="0"/>
    <x v="187"/>
    <x v="187"/>
    <x v="187"/>
    <x v="0"/>
  </r>
  <r>
    <x v="62"/>
    <x v="6"/>
    <x v="62"/>
    <x v="12"/>
    <x v="0"/>
    <x v="60"/>
    <x v="8"/>
    <x v="3"/>
    <x v="0"/>
    <x v="0"/>
    <x v="0"/>
    <x v="0"/>
    <x v="65"/>
    <x v="8"/>
    <x v="3"/>
    <x v="0"/>
    <x v="20"/>
    <x v="20"/>
    <x v="20"/>
    <x v="0"/>
  </r>
  <r>
    <x v="62"/>
    <x v="3"/>
    <x v="62"/>
    <x v="12"/>
    <x v="0"/>
    <x v="19"/>
    <x v="18"/>
    <x v="11"/>
    <x v="0"/>
    <x v="0"/>
    <x v="0"/>
    <x v="0"/>
    <x v="19"/>
    <x v="18"/>
    <x v="11"/>
    <x v="0"/>
    <x v="230"/>
    <x v="230"/>
    <x v="230"/>
    <x v="0"/>
  </r>
  <r>
    <x v="62"/>
    <x v="0"/>
    <x v="62"/>
    <x v="12"/>
    <x v="0"/>
    <x v="59"/>
    <x v="0"/>
    <x v="6"/>
    <x v="0"/>
    <x v="0"/>
    <x v="0"/>
    <x v="0"/>
    <x v="64"/>
    <x v="0"/>
    <x v="6"/>
    <x v="0"/>
    <x v="119"/>
    <x v="119"/>
    <x v="119"/>
    <x v="0"/>
  </r>
  <r>
    <x v="62"/>
    <x v="2"/>
    <x v="62"/>
    <x v="12"/>
    <x v="0"/>
    <x v="57"/>
    <x v="0"/>
    <x v="1"/>
    <x v="0"/>
    <x v="0"/>
    <x v="0"/>
    <x v="0"/>
    <x v="62"/>
    <x v="0"/>
    <x v="1"/>
    <x v="0"/>
    <x v="231"/>
    <x v="231"/>
    <x v="231"/>
    <x v="0"/>
  </r>
  <r>
    <x v="62"/>
    <x v="4"/>
    <x v="62"/>
    <x v="12"/>
    <x v="0"/>
    <x v="62"/>
    <x v="0"/>
    <x v="8"/>
    <x v="0"/>
    <x v="0"/>
    <x v="0"/>
    <x v="0"/>
    <x v="72"/>
    <x v="0"/>
    <x v="8"/>
    <x v="0"/>
    <x v="232"/>
    <x v="232"/>
    <x v="232"/>
    <x v="0"/>
  </r>
  <r>
    <x v="62"/>
    <x v="5"/>
    <x v="62"/>
    <x v="12"/>
    <x v="0"/>
    <x v="69"/>
    <x v="0"/>
    <x v="11"/>
    <x v="0"/>
    <x v="0"/>
    <x v="0"/>
    <x v="0"/>
    <x v="82"/>
    <x v="0"/>
    <x v="11"/>
    <x v="0"/>
    <x v="233"/>
    <x v="233"/>
    <x v="233"/>
    <x v="0"/>
  </r>
  <r>
    <x v="63"/>
    <x v="1"/>
    <x v="63"/>
    <x v="24"/>
    <x v="0"/>
    <x v="1"/>
    <x v="0"/>
    <x v="6"/>
    <x v="0"/>
    <x v="0"/>
    <x v="0"/>
    <x v="0"/>
    <x v="1"/>
    <x v="0"/>
    <x v="6"/>
    <x v="0"/>
    <x v="148"/>
    <x v="148"/>
    <x v="148"/>
    <x v="0"/>
  </r>
  <r>
    <x v="64"/>
    <x v="6"/>
    <x v="64"/>
    <x v="25"/>
    <x v="3"/>
    <x v="17"/>
    <x v="1"/>
    <x v="3"/>
    <x v="0"/>
    <x v="0"/>
    <x v="0"/>
    <x v="0"/>
    <x v="17"/>
    <x v="1"/>
    <x v="3"/>
    <x v="0"/>
    <x v="234"/>
    <x v="234"/>
    <x v="234"/>
    <x v="0"/>
  </r>
  <r>
    <x v="64"/>
    <x v="3"/>
    <x v="64"/>
    <x v="25"/>
    <x v="3"/>
    <x v="61"/>
    <x v="4"/>
    <x v="1"/>
    <x v="0"/>
    <x v="0"/>
    <x v="0"/>
    <x v="0"/>
    <x v="71"/>
    <x v="4"/>
    <x v="1"/>
    <x v="0"/>
    <x v="235"/>
    <x v="235"/>
    <x v="235"/>
    <x v="0"/>
  </r>
  <r>
    <x v="64"/>
    <x v="0"/>
    <x v="64"/>
    <x v="25"/>
    <x v="3"/>
    <x v="19"/>
    <x v="8"/>
    <x v="11"/>
    <x v="0"/>
    <x v="0"/>
    <x v="0"/>
    <x v="0"/>
    <x v="19"/>
    <x v="8"/>
    <x v="11"/>
    <x v="0"/>
    <x v="236"/>
    <x v="236"/>
    <x v="236"/>
    <x v="0"/>
  </r>
  <r>
    <x v="64"/>
    <x v="1"/>
    <x v="64"/>
    <x v="25"/>
    <x v="3"/>
    <x v="17"/>
    <x v="11"/>
    <x v="8"/>
    <x v="0"/>
    <x v="0"/>
    <x v="0"/>
    <x v="0"/>
    <x v="17"/>
    <x v="11"/>
    <x v="8"/>
    <x v="0"/>
    <x v="237"/>
    <x v="237"/>
    <x v="237"/>
    <x v="0"/>
  </r>
  <r>
    <x v="64"/>
    <x v="2"/>
    <x v="64"/>
    <x v="25"/>
    <x v="3"/>
    <x v="17"/>
    <x v="11"/>
    <x v="6"/>
    <x v="0"/>
    <x v="0"/>
    <x v="0"/>
    <x v="0"/>
    <x v="17"/>
    <x v="11"/>
    <x v="6"/>
    <x v="0"/>
    <x v="238"/>
    <x v="238"/>
    <x v="238"/>
    <x v="0"/>
  </r>
  <r>
    <x v="64"/>
    <x v="4"/>
    <x v="64"/>
    <x v="25"/>
    <x v="3"/>
    <x v="17"/>
    <x v="7"/>
    <x v="8"/>
    <x v="0"/>
    <x v="0"/>
    <x v="0"/>
    <x v="0"/>
    <x v="17"/>
    <x v="7"/>
    <x v="8"/>
    <x v="0"/>
    <x v="31"/>
    <x v="31"/>
    <x v="31"/>
    <x v="0"/>
  </r>
  <r>
    <x v="64"/>
    <x v="5"/>
    <x v="64"/>
    <x v="25"/>
    <x v="3"/>
    <x v="17"/>
    <x v="5"/>
    <x v="8"/>
    <x v="0"/>
    <x v="0"/>
    <x v="0"/>
    <x v="0"/>
    <x v="17"/>
    <x v="5"/>
    <x v="8"/>
    <x v="0"/>
    <x v="239"/>
    <x v="239"/>
    <x v="239"/>
    <x v="0"/>
  </r>
  <r>
    <x v="65"/>
    <x v="6"/>
    <x v="65"/>
    <x v="26"/>
    <x v="3"/>
    <x v="53"/>
    <x v="26"/>
    <x v="6"/>
    <x v="0"/>
    <x v="0"/>
    <x v="0"/>
    <x v="0"/>
    <x v="58"/>
    <x v="26"/>
    <x v="6"/>
    <x v="0"/>
    <x v="240"/>
    <x v="240"/>
    <x v="240"/>
    <x v="0"/>
  </r>
  <r>
    <x v="65"/>
    <x v="3"/>
    <x v="65"/>
    <x v="26"/>
    <x v="3"/>
    <x v="37"/>
    <x v="27"/>
    <x v="8"/>
    <x v="0"/>
    <x v="0"/>
    <x v="0"/>
    <x v="0"/>
    <x v="39"/>
    <x v="27"/>
    <x v="8"/>
    <x v="0"/>
    <x v="241"/>
    <x v="241"/>
    <x v="241"/>
    <x v="0"/>
  </r>
  <r>
    <x v="65"/>
    <x v="0"/>
    <x v="65"/>
    <x v="26"/>
    <x v="3"/>
    <x v="17"/>
    <x v="0"/>
    <x v="11"/>
    <x v="0"/>
    <x v="0"/>
    <x v="0"/>
    <x v="0"/>
    <x v="17"/>
    <x v="0"/>
    <x v="11"/>
    <x v="0"/>
    <x v="42"/>
    <x v="42"/>
    <x v="42"/>
    <x v="0"/>
  </r>
  <r>
    <x v="65"/>
    <x v="1"/>
    <x v="65"/>
    <x v="26"/>
    <x v="3"/>
    <x v="7"/>
    <x v="0"/>
    <x v="2"/>
    <x v="0"/>
    <x v="0"/>
    <x v="0"/>
    <x v="0"/>
    <x v="7"/>
    <x v="0"/>
    <x v="2"/>
    <x v="0"/>
    <x v="239"/>
    <x v="239"/>
    <x v="239"/>
    <x v="0"/>
  </r>
  <r>
    <x v="65"/>
    <x v="2"/>
    <x v="65"/>
    <x v="26"/>
    <x v="3"/>
    <x v="1"/>
    <x v="6"/>
    <x v="3"/>
    <x v="0"/>
    <x v="0"/>
    <x v="0"/>
    <x v="0"/>
    <x v="1"/>
    <x v="6"/>
    <x v="3"/>
    <x v="0"/>
    <x v="242"/>
    <x v="242"/>
    <x v="242"/>
    <x v="0"/>
  </r>
  <r>
    <x v="65"/>
    <x v="4"/>
    <x v="65"/>
    <x v="26"/>
    <x v="3"/>
    <x v="62"/>
    <x v="0"/>
    <x v="3"/>
    <x v="0"/>
    <x v="0"/>
    <x v="0"/>
    <x v="0"/>
    <x v="72"/>
    <x v="0"/>
    <x v="3"/>
    <x v="0"/>
    <x v="243"/>
    <x v="243"/>
    <x v="243"/>
    <x v="0"/>
  </r>
  <r>
    <x v="65"/>
    <x v="5"/>
    <x v="65"/>
    <x v="26"/>
    <x v="3"/>
    <x v="1"/>
    <x v="0"/>
    <x v="0"/>
    <x v="0"/>
    <x v="0"/>
    <x v="0"/>
    <x v="0"/>
    <x v="1"/>
    <x v="0"/>
    <x v="0"/>
    <x v="0"/>
    <x v="1"/>
    <x v="1"/>
    <x v="1"/>
    <x v="0"/>
  </r>
  <r>
    <x v="66"/>
    <x v="6"/>
    <x v="66"/>
    <x v="1"/>
    <x v="0"/>
    <x v="9"/>
    <x v="0"/>
    <x v="0"/>
    <x v="0"/>
    <x v="0"/>
    <x v="0"/>
    <x v="0"/>
    <x v="9"/>
    <x v="0"/>
    <x v="0"/>
    <x v="0"/>
    <x v="244"/>
    <x v="244"/>
    <x v="244"/>
    <x v="0"/>
  </r>
  <r>
    <x v="66"/>
    <x v="3"/>
    <x v="66"/>
    <x v="1"/>
    <x v="0"/>
    <x v="59"/>
    <x v="0"/>
    <x v="11"/>
    <x v="0"/>
    <x v="0"/>
    <x v="0"/>
    <x v="0"/>
    <x v="64"/>
    <x v="0"/>
    <x v="11"/>
    <x v="0"/>
    <x v="25"/>
    <x v="25"/>
    <x v="25"/>
    <x v="0"/>
  </r>
  <r>
    <x v="66"/>
    <x v="1"/>
    <x v="66"/>
    <x v="1"/>
    <x v="0"/>
    <x v="59"/>
    <x v="0"/>
    <x v="11"/>
    <x v="0"/>
    <x v="0"/>
    <x v="0"/>
    <x v="0"/>
    <x v="64"/>
    <x v="0"/>
    <x v="11"/>
    <x v="0"/>
    <x v="25"/>
    <x v="25"/>
    <x v="25"/>
    <x v="0"/>
  </r>
  <r>
    <x v="66"/>
    <x v="2"/>
    <x v="66"/>
    <x v="1"/>
    <x v="0"/>
    <x v="21"/>
    <x v="0"/>
    <x v="11"/>
    <x v="0"/>
    <x v="0"/>
    <x v="0"/>
    <x v="0"/>
    <x v="21"/>
    <x v="0"/>
    <x v="11"/>
    <x v="0"/>
    <x v="128"/>
    <x v="128"/>
    <x v="128"/>
    <x v="0"/>
  </r>
  <r>
    <x v="66"/>
    <x v="4"/>
    <x v="66"/>
    <x v="1"/>
    <x v="0"/>
    <x v="59"/>
    <x v="0"/>
    <x v="1"/>
    <x v="0"/>
    <x v="0"/>
    <x v="0"/>
    <x v="0"/>
    <x v="64"/>
    <x v="0"/>
    <x v="1"/>
    <x v="0"/>
    <x v="219"/>
    <x v="219"/>
    <x v="219"/>
    <x v="0"/>
  </r>
  <r>
    <x v="66"/>
    <x v="5"/>
    <x v="66"/>
    <x v="1"/>
    <x v="0"/>
    <x v="36"/>
    <x v="0"/>
    <x v="11"/>
    <x v="0"/>
    <x v="0"/>
    <x v="0"/>
    <x v="0"/>
    <x v="38"/>
    <x v="0"/>
    <x v="11"/>
    <x v="0"/>
    <x v="130"/>
    <x v="130"/>
    <x v="130"/>
    <x v="0"/>
  </r>
  <r>
    <x v="67"/>
    <x v="3"/>
    <x v="67"/>
    <x v="14"/>
    <x v="0"/>
    <x v="9"/>
    <x v="13"/>
    <x v="1"/>
    <x v="0"/>
    <x v="0"/>
    <x v="0"/>
    <x v="0"/>
    <x v="9"/>
    <x v="13"/>
    <x v="1"/>
    <x v="0"/>
    <x v="245"/>
    <x v="245"/>
    <x v="245"/>
    <x v="0"/>
  </r>
  <r>
    <x v="67"/>
    <x v="0"/>
    <x v="67"/>
    <x v="14"/>
    <x v="0"/>
    <x v="49"/>
    <x v="23"/>
    <x v="11"/>
    <x v="0"/>
    <x v="0"/>
    <x v="0"/>
    <x v="0"/>
    <x v="52"/>
    <x v="23"/>
    <x v="11"/>
    <x v="0"/>
    <x v="246"/>
    <x v="246"/>
    <x v="246"/>
    <x v="0"/>
  </r>
  <r>
    <x v="67"/>
    <x v="1"/>
    <x v="67"/>
    <x v="14"/>
    <x v="0"/>
    <x v="36"/>
    <x v="0"/>
    <x v="11"/>
    <x v="0"/>
    <x v="0"/>
    <x v="0"/>
    <x v="0"/>
    <x v="38"/>
    <x v="0"/>
    <x v="11"/>
    <x v="0"/>
    <x v="130"/>
    <x v="130"/>
    <x v="130"/>
    <x v="0"/>
  </r>
  <r>
    <x v="67"/>
    <x v="2"/>
    <x v="67"/>
    <x v="14"/>
    <x v="0"/>
    <x v="59"/>
    <x v="0"/>
    <x v="1"/>
    <x v="0"/>
    <x v="0"/>
    <x v="0"/>
    <x v="0"/>
    <x v="64"/>
    <x v="0"/>
    <x v="1"/>
    <x v="0"/>
    <x v="219"/>
    <x v="219"/>
    <x v="219"/>
    <x v="0"/>
  </r>
  <r>
    <x v="67"/>
    <x v="4"/>
    <x v="67"/>
    <x v="14"/>
    <x v="0"/>
    <x v="58"/>
    <x v="0"/>
    <x v="8"/>
    <x v="0"/>
    <x v="0"/>
    <x v="0"/>
    <x v="0"/>
    <x v="63"/>
    <x v="0"/>
    <x v="8"/>
    <x v="0"/>
    <x v="247"/>
    <x v="247"/>
    <x v="247"/>
    <x v="0"/>
  </r>
  <r>
    <x v="68"/>
    <x v="6"/>
    <x v="68"/>
    <x v="8"/>
    <x v="0"/>
    <x v="60"/>
    <x v="0"/>
    <x v="6"/>
    <x v="0"/>
    <x v="0"/>
    <x v="0"/>
    <x v="0"/>
    <x v="65"/>
    <x v="0"/>
    <x v="6"/>
    <x v="0"/>
    <x v="131"/>
    <x v="131"/>
    <x v="131"/>
    <x v="0"/>
  </r>
  <r>
    <x v="68"/>
    <x v="3"/>
    <x v="68"/>
    <x v="8"/>
    <x v="0"/>
    <x v="43"/>
    <x v="0"/>
    <x v="11"/>
    <x v="0"/>
    <x v="0"/>
    <x v="0"/>
    <x v="0"/>
    <x v="46"/>
    <x v="0"/>
    <x v="11"/>
    <x v="0"/>
    <x v="22"/>
    <x v="22"/>
    <x v="22"/>
    <x v="0"/>
  </r>
  <r>
    <x v="68"/>
    <x v="0"/>
    <x v="68"/>
    <x v="8"/>
    <x v="0"/>
    <x v="0"/>
    <x v="0"/>
    <x v="1"/>
    <x v="0"/>
    <x v="0"/>
    <x v="0"/>
    <x v="0"/>
    <x v="0"/>
    <x v="0"/>
    <x v="1"/>
    <x v="0"/>
    <x v="85"/>
    <x v="85"/>
    <x v="85"/>
    <x v="0"/>
  </r>
  <r>
    <x v="68"/>
    <x v="1"/>
    <x v="68"/>
    <x v="8"/>
    <x v="0"/>
    <x v="61"/>
    <x v="0"/>
    <x v="6"/>
    <x v="0"/>
    <x v="0"/>
    <x v="0"/>
    <x v="0"/>
    <x v="71"/>
    <x v="0"/>
    <x v="6"/>
    <x v="0"/>
    <x v="187"/>
    <x v="187"/>
    <x v="187"/>
    <x v="0"/>
  </r>
  <r>
    <x v="68"/>
    <x v="2"/>
    <x v="68"/>
    <x v="8"/>
    <x v="0"/>
    <x v="39"/>
    <x v="0"/>
    <x v="6"/>
    <x v="0"/>
    <x v="0"/>
    <x v="0"/>
    <x v="0"/>
    <x v="41"/>
    <x v="0"/>
    <x v="6"/>
    <x v="0"/>
    <x v="124"/>
    <x v="124"/>
    <x v="124"/>
    <x v="0"/>
  </r>
  <r>
    <x v="69"/>
    <x v="6"/>
    <x v="69"/>
    <x v="25"/>
    <x v="3"/>
    <x v="17"/>
    <x v="27"/>
    <x v="11"/>
    <x v="0"/>
    <x v="0"/>
    <x v="0"/>
    <x v="0"/>
    <x v="17"/>
    <x v="27"/>
    <x v="11"/>
    <x v="0"/>
    <x v="248"/>
    <x v="248"/>
    <x v="248"/>
    <x v="0"/>
  </r>
  <r>
    <x v="69"/>
    <x v="3"/>
    <x v="69"/>
    <x v="25"/>
    <x v="3"/>
    <x v="0"/>
    <x v="0"/>
    <x v="8"/>
    <x v="0"/>
    <x v="0"/>
    <x v="0"/>
    <x v="0"/>
    <x v="0"/>
    <x v="0"/>
    <x v="8"/>
    <x v="0"/>
    <x v="249"/>
    <x v="249"/>
    <x v="249"/>
    <x v="0"/>
  </r>
  <r>
    <x v="69"/>
    <x v="0"/>
    <x v="69"/>
    <x v="25"/>
    <x v="3"/>
    <x v="61"/>
    <x v="0"/>
    <x v="6"/>
    <x v="0"/>
    <x v="0"/>
    <x v="0"/>
    <x v="0"/>
    <x v="71"/>
    <x v="0"/>
    <x v="6"/>
    <x v="0"/>
    <x v="187"/>
    <x v="187"/>
    <x v="187"/>
    <x v="0"/>
  </r>
  <r>
    <x v="69"/>
    <x v="1"/>
    <x v="69"/>
    <x v="25"/>
    <x v="3"/>
    <x v="5"/>
    <x v="0"/>
    <x v="6"/>
    <x v="0"/>
    <x v="0"/>
    <x v="0"/>
    <x v="0"/>
    <x v="5"/>
    <x v="0"/>
    <x v="6"/>
    <x v="0"/>
    <x v="250"/>
    <x v="250"/>
    <x v="250"/>
    <x v="0"/>
  </r>
  <r>
    <x v="69"/>
    <x v="2"/>
    <x v="69"/>
    <x v="25"/>
    <x v="3"/>
    <x v="69"/>
    <x v="27"/>
    <x v="6"/>
    <x v="0"/>
    <x v="0"/>
    <x v="0"/>
    <x v="0"/>
    <x v="82"/>
    <x v="27"/>
    <x v="6"/>
    <x v="0"/>
    <x v="251"/>
    <x v="251"/>
    <x v="251"/>
    <x v="0"/>
  </r>
  <r>
    <x v="69"/>
    <x v="4"/>
    <x v="69"/>
    <x v="25"/>
    <x v="3"/>
    <x v="53"/>
    <x v="9"/>
    <x v="6"/>
    <x v="0"/>
    <x v="0"/>
    <x v="0"/>
    <x v="0"/>
    <x v="58"/>
    <x v="9"/>
    <x v="6"/>
    <x v="0"/>
    <x v="252"/>
    <x v="252"/>
    <x v="252"/>
    <x v="0"/>
  </r>
  <r>
    <x v="69"/>
    <x v="5"/>
    <x v="69"/>
    <x v="25"/>
    <x v="3"/>
    <x v="39"/>
    <x v="0"/>
    <x v="11"/>
    <x v="0"/>
    <x v="0"/>
    <x v="0"/>
    <x v="0"/>
    <x v="41"/>
    <x v="0"/>
    <x v="11"/>
    <x v="0"/>
    <x v="253"/>
    <x v="253"/>
    <x v="253"/>
    <x v="0"/>
  </r>
  <r>
    <x v="70"/>
    <x v="6"/>
    <x v="70"/>
    <x v="27"/>
    <x v="0"/>
    <x v="61"/>
    <x v="0"/>
    <x v="13"/>
    <x v="0"/>
    <x v="0"/>
    <x v="0"/>
    <x v="0"/>
    <x v="71"/>
    <x v="0"/>
    <x v="13"/>
    <x v="0"/>
    <x v="254"/>
    <x v="254"/>
    <x v="254"/>
    <x v="0"/>
  </r>
  <r>
    <x v="70"/>
    <x v="3"/>
    <x v="70"/>
    <x v="27"/>
    <x v="0"/>
    <x v="2"/>
    <x v="0"/>
    <x v="6"/>
    <x v="0"/>
    <x v="0"/>
    <x v="0"/>
    <x v="0"/>
    <x v="2"/>
    <x v="0"/>
    <x v="6"/>
    <x v="0"/>
    <x v="218"/>
    <x v="218"/>
    <x v="218"/>
    <x v="0"/>
  </r>
  <r>
    <x v="70"/>
    <x v="0"/>
    <x v="70"/>
    <x v="27"/>
    <x v="0"/>
    <x v="59"/>
    <x v="20"/>
    <x v="10"/>
    <x v="0"/>
    <x v="0"/>
    <x v="0"/>
    <x v="0"/>
    <x v="64"/>
    <x v="20"/>
    <x v="10"/>
    <x v="0"/>
    <x v="255"/>
    <x v="255"/>
    <x v="255"/>
    <x v="0"/>
  </r>
  <r>
    <x v="70"/>
    <x v="1"/>
    <x v="70"/>
    <x v="27"/>
    <x v="0"/>
    <x v="69"/>
    <x v="10"/>
    <x v="14"/>
    <x v="0"/>
    <x v="0"/>
    <x v="0"/>
    <x v="0"/>
    <x v="82"/>
    <x v="10"/>
    <x v="14"/>
    <x v="0"/>
    <x v="256"/>
    <x v="256"/>
    <x v="256"/>
    <x v="0"/>
  </r>
  <r>
    <x v="70"/>
    <x v="2"/>
    <x v="70"/>
    <x v="27"/>
    <x v="0"/>
    <x v="17"/>
    <x v="8"/>
    <x v="11"/>
    <x v="0"/>
    <x v="0"/>
    <x v="0"/>
    <x v="0"/>
    <x v="17"/>
    <x v="8"/>
    <x v="11"/>
    <x v="0"/>
    <x v="257"/>
    <x v="257"/>
    <x v="257"/>
    <x v="0"/>
  </r>
  <r>
    <x v="70"/>
    <x v="4"/>
    <x v="70"/>
    <x v="27"/>
    <x v="0"/>
    <x v="17"/>
    <x v="0"/>
    <x v="11"/>
    <x v="0"/>
    <x v="0"/>
    <x v="0"/>
    <x v="0"/>
    <x v="17"/>
    <x v="0"/>
    <x v="11"/>
    <x v="0"/>
    <x v="42"/>
    <x v="42"/>
    <x v="42"/>
    <x v="0"/>
  </r>
  <r>
    <x v="71"/>
    <x v="0"/>
    <x v="71"/>
    <x v="1"/>
    <x v="0"/>
    <x v="36"/>
    <x v="0"/>
    <x v="11"/>
    <x v="0"/>
    <x v="0"/>
    <x v="0"/>
    <x v="0"/>
    <x v="38"/>
    <x v="0"/>
    <x v="11"/>
    <x v="0"/>
    <x v="130"/>
    <x v="130"/>
    <x v="130"/>
    <x v="0"/>
  </r>
  <r>
    <x v="71"/>
    <x v="1"/>
    <x v="71"/>
    <x v="1"/>
    <x v="0"/>
    <x v="48"/>
    <x v="0"/>
    <x v="6"/>
    <x v="0"/>
    <x v="0"/>
    <x v="0"/>
    <x v="0"/>
    <x v="51"/>
    <x v="0"/>
    <x v="6"/>
    <x v="0"/>
    <x v="248"/>
    <x v="248"/>
    <x v="248"/>
    <x v="0"/>
  </r>
  <r>
    <x v="71"/>
    <x v="2"/>
    <x v="71"/>
    <x v="1"/>
    <x v="0"/>
    <x v="70"/>
    <x v="0"/>
    <x v="11"/>
    <x v="0"/>
    <x v="0"/>
    <x v="0"/>
    <x v="0"/>
    <x v="83"/>
    <x v="0"/>
    <x v="11"/>
    <x v="0"/>
    <x v="258"/>
    <x v="258"/>
    <x v="258"/>
    <x v="0"/>
  </r>
  <r>
    <x v="71"/>
    <x v="4"/>
    <x v="71"/>
    <x v="1"/>
    <x v="0"/>
    <x v="21"/>
    <x v="0"/>
    <x v="11"/>
    <x v="0"/>
    <x v="0"/>
    <x v="0"/>
    <x v="0"/>
    <x v="21"/>
    <x v="0"/>
    <x v="11"/>
    <x v="0"/>
    <x v="128"/>
    <x v="128"/>
    <x v="128"/>
    <x v="0"/>
  </r>
  <r>
    <x v="72"/>
    <x v="6"/>
    <x v="72"/>
    <x v="0"/>
    <x v="0"/>
    <x v="19"/>
    <x v="0"/>
    <x v="11"/>
    <x v="0"/>
    <x v="0"/>
    <x v="0"/>
    <x v="0"/>
    <x v="19"/>
    <x v="0"/>
    <x v="11"/>
    <x v="0"/>
    <x v="67"/>
    <x v="67"/>
    <x v="67"/>
    <x v="0"/>
  </r>
  <r>
    <x v="72"/>
    <x v="3"/>
    <x v="72"/>
    <x v="0"/>
    <x v="0"/>
    <x v="59"/>
    <x v="0"/>
    <x v="11"/>
    <x v="0"/>
    <x v="0"/>
    <x v="0"/>
    <x v="0"/>
    <x v="64"/>
    <x v="0"/>
    <x v="11"/>
    <x v="0"/>
    <x v="25"/>
    <x v="25"/>
    <x v="25"/>
    <x v="0"/>
  </r>
  <r>
    <x v="72"/>
    <x v="0"/>
    <x v="72"/>
    <x v="0"/>
    <x v="0"/>
    <x v="36"/>
    <x v="0"/>
    <x v="6"/>
    <x v="0"/>
    <x v="0"/>
    <x v="0"/>
    <x v="0"/>
    <x v="38"/>
    <x v="0"/>
    <x v="6"/>
    <x v="0"/>
    <x v="51"/>
    <x v="51"/>
    <x v="51"/>
    <x v="0"/>
  </r>
  <r>
    <x v="73"/>
    <x v="0"/>
    <x v="73"/>
    <x v="12"/>
    <x v="0"/>
    <x v="44"/>
    <x v="0"/>
    <x v="3"/>
    <x v="0"/>
    <x v="0"/>
    <x v="0"/>
    <x v="0"/>
    <x v="47"/>
    <x v="0"/>
    <x v="3"/>
    <x v="0"/>
    <x v="259"/>
    <x v="259"/>
    <x v="259"/>
    <x v="0"/>
  </r>
  <r>
    <x v="73"/>
    <x v="1"/>
    <x v="73"/>
    <x v="12"/>
    <x v="0"/>
    <x v="66"/>
    <x v="0"/>
    <x v="10"/>
    <x v="0"/>
    <x v="0"/>
    <x v="0"/>
    <x v="0"/>
    <x v="84"/>
    <x v="0"/>
    <x v="10"/>
    <x v="0"/>
    <x v="260"/>
    <x v="260"/>
    <x v="260"/>
    <x v="0"/>
  </r>
  <r>
    <x v="73"/>
    <x v="2"/>
    <x v="73"/>
    <x v="12"/>
    <x v="0"/>
    <x v="71"/>
    <x v="0"/>
    <x v="0"/>
    <x v="0"/>
    <x v="0"/>
    <x v="0"/>
    <x v="0"/>
    <x v="85"/>
    <x v="0"/>
    <x v="0"/>
    <x v="0"/>
    <x v="261"/>
    <x v="261"/>
    <x v="261"/>
    <x v="0"/>
  </r>
  <r>
    <x v="73"/>
    <x v="4"/>
    <x v="73"/>
    <x v="12"/>
    <x v="0"/>
    <x v="6"/>
    <x v="0"/>
    <x v="8"/>
    <x v="0"/>
    <x v="0"/>
    <x v="0"/>
    <x v="0"/>
    <x v="6"/>
    <x v="0"/>
    <x v="8"/>
    <x v="0"/>
    <x v="262"/>
    <x v="262"/>
    <x v="262"/>
    <x v="0"/>
  </r>
  <r>
    <x v="74"/>
    <x v="0"/>
    <x v="71"/>
    <x v="1"/>
    <x v="0"/>
    <x v="49"/>
    <x v="0"/>
    <x v="10"/>
    <x v="0"/>
    <x v="0"/>
    <x v="0"/>
    <x v="0"/>
    <x v="52"/>
    <x v="0"/>
    <x v="10"/>
    <x v="0"/>
    <x v="146"/>
    <x v="146"/>
    <x v="146"/>
    <x v="0"/>
  </r>
  <r>
    <x v="74"/>
    <x v="1"/>
    <x v="71"/>
    <x v="1"/>
    <x v="0"/>
    <x v="58"/>
    <x v="0"/>
    <x v="1"/>
    <x v="0"/>
    <x v="0"/>
    <x v="0"/>
    <x v="0"/>
    <x v="63"/>
    <x v="0"/>
    <x v="1"/>
    <x v="0"/>
    <x v="118"/>
    <x v="118"/>
    <x v="118"/>
    <x v="0"/>
  </r>
  <r>
    <x v="74"/>
    <x v="2"/>
    <x v="71"/>
    <x v="1"/>
    <x v="0"/>
    <x v="59"/>
    <x v="0"/>
    <x v="3"/>
    <x v="0"/>
    <x v="0"/>
    <x v="0"/>
    <x v="0"/>
    <x v="64"/>
    <x v="0"/>
    <x v="3"/>
    <x v="0"/>
    <x v="263"/>
    <x v="263"/>
    <x v="263"/>
    <x v="0"/>
  </r>
  <r>
    <x v="74"/>
    <x v="5"/>
    <x v="71"/>
    <x v="1"/>
    <x v="0"/>
    <x v="59"/>
    <x v="0"/>
    <x v="3"/>
    <x v="0"/>
    <x v="0"/>
    <x v="0"/>
    <x v="0"/>
    <x v="64"/>
    <x v="0"/>
    <x v="3"/>
    <x v="0"/>
    <x v="263"/>
    <x v="263"/>
    <x v="263"/>
    <x v="0"/>
  </r>
  <r>
    <x v="75"/>
    <x v="4"/>
    <x v="74"/>
    <x v="14"/>
    <x v="0"/>
    <x v="21"/>
    <x v="0"/>
    <x v="11"/>
    <x v="0"/>
    <x v="0"/>
    <x v="0"/>
    <x v="0"/>
    <x v="21"/>
    <x v="0"/>
    <x v="11"/>
    <x v="0"/>
    <x v="128"/>
    <x v="128"/>
    <x v="128"/>
    <x v="0"/>
  </r>
  <r>
    <x v="76"/>
    <x v="1"/>
    <x v="75"/>
    <x v="1"/>
    <x v="0"/>
    <x v="62"/>
    <x v="0"/>
    <x v="11"/>
    <x v="0"/>
    <x v="0"/>
    <x v="0"/>
    <x v="0"/>
    <x v="72"/>
    <x v="0"/>
    <x v="11"/>
    <x v="0"/>
    <x v="264"/>
    <x v="264"/>
    <x v="264"/>
    <x v="0"/>
  </r>
  <r>
    <x v="76"/>
    <x v="2"/>
    <x v="75"/>
    <x v="1"/>
    <x v="0"/>
    <x v="62"/>
    <x v="0"/>
    <x v="10"/>
    <x v="0"/>
    <x v="0"/>
    <x v="0"/>
    <x v="0"/>
    <x v="72"/>
    <x v="0"/>
    <x v="10"/>
    <x v="0"/>
    <x v="265"/>
    <x v="265"/>
    <x v="265"/>
    <x v="0"/>
  </r>
  <r>
    <x v="76"/>
    <x v="4"/>
    <x v="75"/>
    <x v="1"/>
    <x v="0"/>
    <x v="43"/>
    <x v="0"/>
    <x v="1"/>
    <x v="0"/>
    <x v="0"/>
    <x v="0"/>
    <x v="0"/>
    <x v="46"/>
    <x v="0"/>
    <x v="1"/>
    <x v="0"/>
    <x v="111"/>
    <x v="111"/>
    <x v="111"/>
    <x v="0"/>
  </r>
  <r>
    <x v="76"/>
    <x v="5"/>
    <x v="75"/>
    <x v="1"/>
    <x v="0"/>
    <x v="0"/>
    <x v="0"/>
    <x v="1"/>
    <x v="0"/>
    <x v="0"/>
    <x v="0"/>
    <x v="0"/>
    <x v="0"/>
    <x v="0"/>
    <x v="1"/>
    <x v="0"/>
    <x v="85"/>
    <x v="85"/>
    <x v="85"/>
    <x v="0"/>
  </r>
  <r>
    <x v="77"/>
    <x v="1"/>
    <x v="76"/>
    <x v="24"/>
    <x v="0"/>
    <x v="62"/>
    <x v="0"/>
    <x v="11"/>
    <x v="0"/>
    <x v="0"/>
    <x v="0"/>
    <x v="0"/>
    <x v="72"/>
    <x v="0"/>
    <x v="11"/>
    <x v="0"/>
    <x v="264"/>
    <x v="264"/>
    <x v="264"/>
    <x v="0"/>
  </r>
  <r>
    <x v="77"/>
    <x v="2"/>
    <x v="76"/>
    <x v="24"/>
    <x v="0"/>
    <x v="70"/>
    <x v="0"/>
    <x v="11"/>
    <x v="0"/>
    <x v="0"/>
    <x v="0"/>
    <x v="0"/>
    <x v="83"/>
    <x v="0"/>
    <x v="11"/>
    <x v="0"/>
    <x v="258"/>
    <x v="258"/>
    <x v="258"/>
    <x v="0"/>
  </r>
  <r>
    <x v="77"/>
    <x v="4"/>
    <x v="76"/>
    <x v="24"/>
    <x v="0"/>
    <x v="5"/>
    <x v="0"/>
    <x v="11"/>
    <x v="0"/>
    <x v="0"/>
    <x v="0"/>
    <x v="0"/>
    <x v="5"/>
    <x v="0"/>
    <x v="11"/>
    <x v="0"/>
    <x v="266"/>
    <x v="266"/>
    <x v="266"/>
    <x v="0"/>
  </r>
  <r>
    <x v="77"/>
    <x v="5"/>
    <x v="76"/>
    <x v="24"/>
    <x v="0"/>
    <x v="62"/>
    <x v="0"/>
    <x v="1"/>
    <x v="0"/>
    <x v="0"/>
    <x v="0"/>
    <x v="0"/>
    <x v="72"/>
    <x v="0"/>
    <x v="1"/>
    <x v="0"/>
    <x v="267"/>
    <x v="267"/>
    <x v="267"/>
    <x v="0"/>
  </r>
  <r>
    <x v="78"/>
    <x v="1"/>
    <x v="77"/>
    <x v="2"/>
    <x v="0"/>
    <x v="42"/>
    <x v="0"/>
    <x v="16"/>
    <x v="0"/>
    <x v="0"/>
    <x v="0"/>
    <x v="0"/>
    <x v="45"/>
    <x v="0"/>
    <x v="16"/>
    <x v="0"/>
    <x v="268"/>
    <x v="268"/>
    <x v="268"/>
    <x v="0"/>
  </r>
  <r>
    <x v="78"/>
    <x v="2"/>
    <x v="77"/>
    <x v="2"/>
    <x v="0"/>
    <x v="14"/>
    <x v="0"/>
    <x v="17"/>
    <x v="0"/>
    <x v="0"/>
    <x v="0"/>
    <x v="0"/>
    <x v="14"/>
    <x v="0"/>
    <x v="17"/>
    <x v="0"/>
    <x v="269"/>
    <x v="269"/>
    <x v="269"/>
    <x v="0"/>
  </r>
  <r>
    <x v="79"/>
    <x v="1"/>
    <x v="78"/>
    <x v="21"/>
    <x v="3"/>
    <x v="0"/>
    <x v="0"/>
    <x v="6"/>
    <x v="0"/>
    <x v="0"/>
    <x v="0"/>
    <x v="0"/>
    <x v="0"/>
    <x v="0"/>
    <x v="6"/>
    <x v="0"/>
    <x v="270"/>
    <x v="270"/>
    <x v="270"/>
    <x v="0"/>
  </r>
  <r>
    <x v="79"/>
    <x v="2"/>
    <x v="78"/>
    <x v="21"/>
    <x v="3"/>
    <x v="22"/>
    <x v="0"/>
    <x v="1"/>
    <x v="0"/>
    <x v="0"/>
    <x v="0"/>
    <x v="0"/>
    <x v="22"/>
    <x v="0"/>
    <x v="1"/>
    <x v="0"/>
    <x v="251"/>
    <x v="251"/>
    <x v="251"/>
    <x v="0"/>
  </r>
  <r>
    <x v="79"/>
    <x v="4"/>
    <x v="78"/>
    <x v="21"/>
    <x v="3"/>
    <x v="60"/>
    <x v="0"/>
    <x v="6"/>
    <x v="0"/>
    <x v="0"/>
    <x v="0"/>
    <x v="0"/>
    <x v="65"/>
    <x v="0"/>
    <x v="6"/>
    <x v="0"/>
    <x v="131"/>
    <x v="131"/>
    <x v="131"/>
    <x v="0"/>
  </r>
  <r>
    <x v="79"/>
    <x v="5"/>
    <x v="78"/>
    <x v="21"/>
    <x v="3"/>
    <x v="23"/>
    <x v="0"/>
    <x v="1"/>
    <x v="0"/>
    <x v="0"/>
    <x v="0"/>
    <x v="0"/>
    <x v="23"/>
    <x v="0"/>
    <x v="1"/>
    <x v="0"/>
    <x v="32"/>
    <x v="32"/>
    <x v="32"/>
    <x v="0"/>
  </r>
  <r>
    <x v="80"/>
    <x v="2"/>
    <x v="25"/>
    <x v="2"/>
    <x v="0"/>
    <x v="19"/>
    <x v="27"/>
    <x v="1"/>
    <x v="0"/>
    <x v="0"/>
    <x v="0"/>
    <x v="0"/>
    <x v="19"/>
    <x v="27"/>
    <x v="1"/>
    <x v="0"/>
    <x v="271"/>
    <x v="271"/>
    <x v="271"/>
    <x v="0"/>
  </r>
  <r>
    <x v="80"/>
    <x v="4"/>
    <x v="25"/>
    <x v="2"/>
    <x v="0"/>
    <x v="17"/>
    <x v="10"/>
    <x v="6"/>
    <x v="0"/>
    <x v="0"/>
    <x v="0"/>
    <x v="0"/>
    <x v="17"/>
    <x v="10"/>
    <x v="6"/>
    <x v="0"/>
    <x v="272"/>
    <x v="272"/>
    <x v="272"/>
    <x v="0"/>
  </r>
  <r>
    <x v="80"/>
    <x v="5"/>
    <x v="25"/>
    <x v="2"/>
    <x v="0"/>
    <x v="0"/>
    <x v="0"/>
    <x v="10"/>
    <x v="0"/>
    <x v="0"/>
    <x v="0"/>
    <x v="0"/>
    <x v="0"/>
    <x v="0"/>
    <x v="10"/>
    <x v="0"/>
    <x v="120"/>
    <x v="120"/>
    <x v="120"/>
    <x v="0"/>
  </r>
  <r>
    <x v="81"/>
    <x v="2"/>
    <x v="79"/>
    <x v="26"/>
    <x v="3"/>
    <x v="17"/>
    <x v="11"/>
    <x v="1"/>
    <x v="0"/>
    <x v="0"/>
    <x v="0"/>
    <x v="0"/>
    <x v="17"/>
    <x v="11"/>
    <x v="1"/>
    <x v="0"/>
    <x v="273"/>
    <x v="273"/>
    <x v="273"/>
    <x v="0"/>
  </r>
  <r>
    <x v="81"/>
    <x v="4"/>
    <x v="79"/>
    <x v="26"/>
    <x v="3"/>
    <x v="17"/>
    <x v="4"/>
    <x v="10"/>
    <x v="0"/>
    <x v="0"/>
    <x v="0"/>
    <x v="0"/>
    <x v="17"/>
    <x v="4"/>
    <x v="10"/>
    <x v="0"/>
    <x v="274"/>
    <x v="274"/>
    <x v="27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1" cacheId="0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>
  <location ref="A3:B86" firstHeaderRow="1" firstDataRow="1" firstDataCol="1"/>
  <pivotFields count="20">
    <pivotField axis="axisRow" compact="0" showAll="0">
      <items count="8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compact="0" numFmtId="166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276">
        <item x="42"/>
        <item x="67"/>
        <item x="29"/>
        <item x="217"/>
        <item x="23"/>
        <item x="147"/>
        <item x="192"/>
        <item x="96"/>
        <item x="89"/>
        <item x="248"/>
        <item x="258"/>
        <item x="194"/>
        <item x="125"/>
        <item x="271"/>
        <item x="231"/>
        <item x="207"/>
        <item x="218"/>
        <item x="2"/>
        <item x="128"/>
        <item x="24"/>
        <item x="130"/>
        <item x="272"/>
        <item x="246"/>
        <item x="51"/>
        <item x="95"/>
        <item x="146"/>
        <item x="193"/>
        <item x="90"/>
        <item x="131"/>
        <item x="121"/>
        <item x="25"/>
        <item x="94"/>
        <item x="119"/>
        <item x="219"/>
        <item x="264"/>
        <item x="139"/>
        <item x="257"/>
        <item x="28"/>
        <item x="267"/>
        <item x="22"/>
        <item x="263"/>
        <item x="232"/>
        <item x="27"/>
        <item x="236"/>
        <item x="114"/>
        <item x="153"/>
        <item x="265"/>
        <item x="111"/>
        <item x="243"/>
        <item x="68"/>
        <item x="270"/>
        <item x="226"/>
        <item x="85"/>
        <item x="202"/>
        <item x="249"/>
        <item x="120"/>
        <item x="118"/>
        <item x="230"/>
        <item x="206"/>
        <item x="247"/>
        <item x="116"/>
        <item x="30"/>
        <item x="99"/>
        <item x="0"/>
        <item x="238"/>
        <item x="86"/>
        <item x="233"/>
        <item x="177"/>
        <item x="273"/>
        <item x="201"/>
        <item x="237"/>
        <item x="26"/>
        <item x="198"/>
        <item x="87"/>
        <item x="266"/>
        <item x="92"/>
        <item x="250"/>
        <item x="17"/>
        <item x="21"/>
        <item x="91"/>
        <item x="122"/>
        <item x="127"/>
        <item x="58"/>
        <item x="156"/>
        <item x="93"/>
        <item x="244"/>
        <item x="112"/>
        <item x="32"/>
        <item x="155"/>
        <item x="134"/>
        <item x="138"/>
        <item x="105"/>
        <item x="187"/>
        <item x="154"/>
        <item x="31"/>
        <item x="126"/>
        <item x="227"/>
        <item x="251"/>
        <item x="253"/>
        <item x="203"/>
        <item x="229"/>
        <item x="124"/>
        <item x="88"/>
        <item x="117"/>
        <item x="123"/>
        <item x="74"/>
        <item x="162"/>
        <item x="225"/>
        <item x="148"/>
        <item x="234"/>
        <item x="57"/>
        <item x="18"/>
        <item x="165"/>
        <item x="204"/>
        <item x="49"/>
        <item x="142"/>
        <item x="20"/>
        <item x="254"/>
        <item x="113"/>
        <item x="216"/>
        <item x="55"/>
        <item x="129"/>
        <item x="274"/>
        <item x="1"/>
        <item x="212"/>
        <item x="132"/>
        <item x="205"/>
        <item x="83"/>
        <item x="145"/>
        <item x="137"/>
        <item x="140"/>
        <item x="97"/>
        <item x="215"/>
        <item x="211"/>
        <item x="158"/>
        <item x="252"/>
        <item x="245"/>
        <item x="256"/>
        <item x="157"/>
        <item x="10"/>
        <item x="228"/>
        <item x="19"/>
        <item x="151"/>
        <item x="63"/>
        <item x="73"/>
        <item x="160"/>
        <item x="62"/>
        <item x="164"/>
        <item x="56"/>
        <item x="115"/>
        <item x="239"/>
        <item x="33"/>
        <item x="149"/>
        <item x="60"/>
        <item x="181"/>
        <item x="163"/>
        <item x="107"/>
        <item x="61"/>
        <item x="213"/>
        <item x="54"/>
        <item x="166"/>
        <item x="82"/>
        <item x="84"/>
        <item x="133"/>
        <item x="14"/>
        <item x="135"/>
        <item x="66"/>
        <item x="98"/>
        <item x="240"/>
        <item x="241"/>
        <item x="168"/>
        <item x="79"/>
        <item x="178"/>
        <item x="141"/>
        <item x="59"/>
        <item x="71"/>
        <item x="159"/>
        <item x="75"/>
        <item x="136"/>
        <item x="195"/>
        <item x="268"/>
        <item x="262"/>
        <item x="5"/>
        <item x="242"/>
        <item x="150"/>
        <item x="69"/>
        <item x="16"/>
        <item x="209"/>
        <item x="255"/>
        <item x="208"/>
        <item x="167"/>
        <item x="9"/>
        <item x="196"/>
        <item x="143"/>
        <item x="189"/>
        <item x="144"/>
        <item x="176"/>
        <item x="11"/>
        <item x="64"/>
        <item x="214"/>
        <item x="53"/>
        <item x="197"/>
        <item x="200"/>
        <item x="50"/>
        <item x="15"/>
        <item x="222"/>
        <item x="72"/>
        <item x="220"/>
        <item x="45"/>
        <item x="173"/>
        <item x="269"/>
        <item x="52"/>
        <item x="34"/>
        <item x="43"/>
        <item x="235"/>
        <item x="199"/>
        <item x="152"/>
        <item x="259"/>
        <item x="188"/>
        <item x="261"/>
        <item x="80"/>
        <item x="44"/>
        <item x="223"/>
        <item x="161"/>
        <item x="186"/>
        <item x="175"/>
        <item x="12"/>
        <item x="77"/>
        <item x="81"/>
        <item x="210"/>
        <item x="48"/>
        <item x="260"/>
        <item x="70"/>
        <item x="65"/>
        <item x="104"/>
        <item x="221"/>
        <item x="41"/>
        <item x="182"/>
        <item x="76"/>
        <item x="13"/>
        <item x="190"/>
        <item x="174"/>
        <item x="172"/>
        <item x="108"/>
        <item x="171"/>
        <item x="4"/>
        <item x="179"/>
        <item x="7"/>
        <item x="183"/>
        <item x="47"/>
        <item x="8"/>
        <item x="35"/>
        <item x="110"/>
        <item x="170"/>
        <item x="78"/>
        <item x="3"/>
        <item x="180"/>
        <item x="6"/>
        <item x="46"/>
        <item x="191"/>
        <item x="184"/>
        <item x="169"/>
        <item x="224"/>
        <item x="185"/>
        <item x="103"/>
        <item x="101"/>
        <item x="106"/>
        <item x="39"/>
        <item x="40"/>
        <item x="100"/>
        <item x="109"/>
        <item x="102"/>
        <item x="37"/>
        <item x="38"/>
        <item x="36"/>
        <item t="default"/>
      </items>
    </pivotField>
    <pivotField compact="0" showAll="0"/>
  </pivotFields>
  <rowFields count="1">
    <field x="0"/>
  </rowFields>
  <rowItems count="8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 t="grand">
      <x/>
    </i>
  </rowItems>
  <colItems count="1">
    <i/>
  </colItems>
  <dataFields count="1">
    <dataField name="Sum of  Amount to credit " fld="18" baseField="0" baseItem="0"/>
  </dataField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T379" totalsRowShown="0">
  <autoFilter ref="A2:T379" xr:uid="{00000000-0009-0000-0100-000001000000}"/>
  <tableColumns count="20">
    <tableColumn id="1" xr3:uid="{00000000-0010-0000-0000-000001000000}" name="Rider_id" dataDxfId="8"/>
    <tableColumn id="2" xr3:uid="{00000000-0010-0000-0000-000002000000}" name="Order_date" dataDxfId="7"/>
    <tableColumn id="3" xr3:uid="{00000000-0010-0000-0000-000003000000}" name="Name" dataDxfId="6"/>
    <tableColumn id="4" xr3:uid="{00000000-0010-0000-0000-000004000000}" name="HUB" dataDxfId="5"/>
    <tableColumn id="5" xr3:uid="{00000000-0010-0000-0000-000005000000}" name="City" dataDxfId="4"/>
    <tableColumn id="6" xr3:uid="{00000000-0010-0000-0000-000006000000}" name="FWD+REV ORDERS" dataDxfId="3"/>
    <tableColumn id="7" xr3:uid="{00000000-0010-0000-0000-000007000000}" name="SDD ORDERS" dataDxfId="2"/>
    <tableColumn id="8" xr3:uid="{00000000-0010-0000-0000-000008000000}" name="Total_clubbed_order" dataDxfId="1"/>
    <tableColumn id="9" xr3:uid="{00000000-0010-0000-0000-000009000000}" name="RTS+FM_Orders" dataDxfId="0"/>
    <tableColumn id="10" xr3:uid="{00000000-0010-0000-0000-00000A000000}" name="FWD+REV Rate"/>
    <tableColumn id="11" xr3:uid="{00000000-0010-0000-0000-00000B000000}" name="SDD RATE"/>
    <tableColumn id="12" xr3:uid="{00000000-0010-0000-0000-00000C000000}" name=" CLUBBED ORD RATE "/>
    <tableColumn id="13" xr3:uid="{00000000-0010-0000-0000-00000D000000}" name=" FWD+ REV TOTAL AMT ">
      <calculatedColumnFormula>F3*J3</calculatedColumnFormula>
    </tableColumn>
    <tableColumn id="14" xr3:uid="{00000000-0010-0000-0000-00000E000000}" name=" SDD TOTAL AMOUNT ">
      <calculatedColumnFormula>G3*K3</calculatedColumnFormula>
    </tableColumn>
    <tableColumn id="15" xr3:uid="{00000000-0010-0000-0000-00000F000000}" name=" Total Clubbed order Amt ">
      <calculatedColumnFormula>H3*L3</calculatedColumnFormula>
    </tableColumn>
    <tableColumn id="16" xr3:uid="{00000000-0010-0000-0000-000010000000}" name=" TOTAL RTS + FM AMt ">
      <calculatedColumnFormula>I3*2.5</calculatedColumnFormula>
    </tableColumn>
    <tableColumn id="17" xr3:uid="{00000000-0010-0000-0000-000011000000}" name=" TOTAL M+N+O+P ">
      <calculatedColumnFormula>M3+N3+O3+P3</calculatedColumnFormula>
    </tableColumn>
    <tableColumn id="18" xr3:uid="{00000000-0010-0000-0000-000012000000}" name=" L.P. @ 1% ">
      <calculatedColumnFormula>Q3*1%</calculatedColumnFormula>
    </tableColumn>
    <tableColumn id="19" xr3:uid="{00000000-0010-0000-0000-000013000000}" name=" Amount to credit ">
      <calculatedColumnFormula>Q3-R3</calculatedColumnFormula>
    </tableColumn>
    <tableColumn id="20" xr3:uid="{00000000-0010-0000-0000-000014000000}" name="Date Rang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86"/>
  <sheetViews>
    <sheetView topLeftCell="A63" workbookViewId="0">
      <selection activeCell="B4" sqref="B4:B85"/>
    </sheetView>
  </sheetViews>
  <sheetFormatPr defaultColWidth="9.109375" defaultRowHeight="14.4"/>
  <cols>
    <col min="1" max="1" width="12.109375"/>
    <col min="2" max="2" width="25.6640625"/>
  </cols>
  <sheetData>
    <row r="3" spans="1:2">
      <c r="A3" t="s">
        <v>0</v>
      </c>
      <c r="B3" t="s">
        <v>1</v>
      </c>
    </row>
    <row r="4" spans="1:2">
      <c r="A4">
        <v>115423</v>
      </c>
      <c r="B4">
        <v>1036.53</v>
      </c>
    </row>
    <row r="5" spans="1:2">
      <c r="A5">
        <v>218619</v>
      </c>
      <c r="B5">
        <v>7215.12</v>
      </c>
    </row>
    <row r="6" spans="1:2">
      <c r="A6">
        <v>641800</v>
      </c>
      <c r="B6">
        <v>1397.88</v>
      </c>
    </row>
    <row r="7" spans="1:2">
      <c r="A7">
        <v>652514</v>
      </c>
      <c r="B7">
        <v>5358.87</v>
      </c>
    </row>
    <row r="8" spans="1:2">
      <c r="A8">
        <v>656262</v>
      </c>
      <c r="B8">
        <v>2010.69</v>
      </c>
    </row>
    <row r="9" spans="1:2">
      <c r="A9">
        <v>719648</v>
      </c>
      <c r="B9">
        <v>1762.2</v>
      </c>
    </row>
    <row r="10" spans="1:2">
      <c r="A10">
        <v>989724</v>
      </c>
      <c r="B10">
        <v>2102.7600000000002</v>
      </c>
    </row>
    <row r="11" spans="1:2">
      <c r="A11">
        <v>1020330</v>
      </c>
      <c r="B11">
        <v>9212.94</v>
      </c>
    </row>
    <row r="12" spans="1:2">
      <c r="A12">
        <v>1066721</v>
      </c>
      <c r="B12">
        <v>5468.76</v>
      </c>
    </row>
    <row r="13" spans="1:2">
      <c r="A13">
        <v>1340684</v>
      </c>
      <c r="B13">
        <v>5921.19</v>
      </c>
    </row>
    <row r="14" spans="1:2">
      <c r="A14">
        <v>1367231</v>
      </c>
      <c r="B14">
        <v>209.88</v>
      </c>
    </row>
    <row r="15" spans="1:2">
      <c r="A15">
        <v>1438635</v>
      </c>
      <c r="B15">
        <v>4201.5600000000004</v>
      </c>
    </row>
    <row r="16" spans="1:2">
      <c r="A16">
        <v>1440787</v>
      </c>
      <c r="B16">
        <v>2921.49</v>
      </c>
    </row>
    <row r="17" spans="1:2">
      <c r="A17">
        <v>1844773</v>
      </c>
      <c r="B17">
        <v>4575.78</v>
      </c>
    </row>
    <row r="18" spans="1:2">
      <c r="A18">
        <v>1980518</v>
      </c>
      <c r="B18">
        <v>16.829999999999998</v>
      </c>
    </row>
    <row r="19" spans="1:2">
      <c r="A19">
        <v>2074755</v>
      </c>
      <c r="B19">
        <v>293.04000000000002</v>
      </c>
    </row>
    <row r="20" spans="1:2">
      <c r="A20">
        <v>2260443</v>
      </c>
      <c r="B20">
        <v>5262.84</v>
      </c>
    </row>
    <row r="21" spans="1:2">
      <c r="A21">
        <v>2279276</v>
      </c>
      <c r="B21">
        <v>0</v>
      </c>
    </row>
    <row r="22" spans="1:2">
      <c r="A22">
        <v>2422645</v>
      </c>
      <c r="B22">
        <v>6269.67</v>
      </c>
    </row>
    <row r="23" spans="1:2">
      <c r="A23">
        <v>2486469</v>
      </c>
      <c r="B23">
        <v>2525.4899999999998</v>
      </c>
    </row>
    <row r="24" spans="1:2">
      <c r="A24">
        <v>2523452</v>
      </c>
      <c r="B24">
        <v>931.59</v>
      </c>
    </row>
    <row r="25" spans="1:2">
      <c r="A25">
        <v>2887480</v>
      </c>
      <c r="B25">
        <v>1318.68</v>
      </c>
    </row>
    <row r="26" spans="1:2">
      <c r="A26">
        <v>2981873</v>
      </c>
      <c r="B26">
        <v>940.5</v>
      </c>
    </row>
    <row r="27" spans="1:2">
      <c r="A27">
        <v>3019264</v>
      </c>
      <c r="B27">
        <v>1597.86</v>
      </c>
    </row>
    <row r="28" spans="1:2">
      <c r="A28">
        <v>3285303</v>
      </c>
      <c r="B28">
        <v>7361.64</v>
      </c>
    </row>
    <row r="29" spans="1:2">
      <c r="A29">
        <v>3439656</v>
      </c>
      <c r="B29">
        <v>1385.01</v>
      </c>
    </row>
    <row r="30" spans="1:2">
      <c r="A30">
        <v>3471879</v>
      </c>
      <c r="B30">
        <v>7324.02</v>
      </c>
    </row>
    <row r="31" spans="1:2">
      <c r="A31">
        <v>3530069</v>
      </c>
      <c r="B31">
        <v>1544.4</v>
      </c>
    </row>
    <row r="32" spans="1:2">
      <c r="A32">
        <v>3566686</v>
      </c>
      <c r="B32">
        <v>627.66</v>
      </c>
    </row>
    <row r="33" spans="1:2">
      <c r="A33">
        <v>4043094</v>
      </c>
      <c r="B33">
        <v>1912.68</v>
      </c>
    </row>
    <row r="34" spans="1:2">
      <c r="A34">
        <v>4089468</v>
      </c>
      <c r="B34">
        <v>2146.3200000000002</v>
      </c>
    </row>
    <row r="35" spans="1:2">
      <c r="A35">
        <v>4225595</v>
      </c>
      <c r="B35">
        <v>100.98</v>
      </c>
    </row>
    <row r="36" spans="1:2">
      <c r="A36">
        <v>4265984</v>
      </c>
      <c r="B36">
        <v>1520.64</v>
      </c>
    </row>
    <row r="37" spans="1:2">
      <c r="A37">
        <v>4347525</v>
      </c>
      <c r="B37">
        <v>3619.44</v>
      </c>
    </row>
    <row r="38" spans="1:2">
      <c r="A38">
        <v>4355254</v>
      </c>
      <c r="B38">
        <v>891</v>
      </c>
    </row>
    <row r="39" spans="1:2">
      <c r="A39">
        <v>4355349</v>
      </c>
      <c r="B39">
        <v>2137.41</v>
      </c>
    </row>
    <row r="40" spans="1:2">
      <c r="A40">
        <v>4410017</v>
      </c>
      <c r="B40">
        <v>2990.79</v>
      </c>
    </row>
    <row r="41" spans="1:2">
      <c r="A41">
        <v>4503785</v>
      </c>
      <c r="B41">
        <v>2965.05</v>
      </c>
    </row>
    <row r="42" spans="1:2">
      <c r="A42">
        <v>4514679</v>
      </c>
      <c r="B42">
        <v>1993.86</v>
      </c>
    </row>
    <row r="43" spans="1:2">
      <c r="A43">
        <v>4535655</v>
      </c>
      <c r="B43">
        <v>16.829999999999998</v>
      </c>
    </row>
    <row r="44" spans="1:2">
      <c r="A44">
        <v>4540573</v>
      </c>
      <c r="B44">
        <v>4240.17</v>
      </c>
    </row>
    <row r="45" spans="1:2">
      <c r="A45">
        <v>4549744</v>
      </c>
      <c r="B45">
        <v>4433.22</v>
      </c>
    </row>
    <row r="46" spans="1:2">
      <c r="A46">
        <v>4571255</v>
      </c>
      <c r="B46">
        <v>5219.28</v>
      </c>
    </row>
    <row r="47" spans="1:2">
      <c r="A47">
        <v>4573566</v>
      </c>
      <c r="B47">
        <v>4914.3599999999997</v>
      </c>
    </row>
    <row r="48" spans="1:2">
      <c r="A48">
        <v>4573871</v>
      </c>
      <c r="B48">
        <v>4286.7</v>
      </c>
    </row>
    <row r="49" spans="1:2">
      <c r="A49">
        <v>4589223</v>
      </c>
      <c r="B49">
        <v>6968.61</v>
      </c>
    </row>
    <row r="50" spans="1:2">
      <c r="A50">
        <v>4591370</v>
      </c>
      <c r="B50">
        <v>4921.29</v>
      </c>
    </row>
    <row r="51" spans="1:2">
      <c r="A51">
        <v>4608063</v>
      </c>
      <c r="B51">
        <v>353.43</v>
      </c>
    </row>
    <row r="52" spans="1:2">
      <c r="A52">
        <v>4610666</v>
      </c>
      <c r="B52">
        <v>4303.53</v>
      </c>
    </row>
    <row r="53" spans="1:2">
      <c r="A53">
        <v>4620826</v>
      </c>
      <c r="B53">
        <v>663.3</v>
      </c>
    </row>
    <row r="54" spans="1:2">
      <c r="A54">
        <v>4634307</v>
      </c>
      <c r="B54">
        <v>1799.82</v>
      </c>
    </row>
    <row r="55" spans="1:2">
      <c r="A55">
        <v>4654347</v>
      </c>
      <c r="B55">
        <v>2403.7199999999998</v>
      </c>
    </row>
    <row r="56" spans="1:2">
      <c r="A56">
        <v>4664740</v>
      </c>
      <c r="B56">
        <v>644.49</v>
      </c>
    </row>
    <row r="57" spans="1:2">
      <c r="A57">
        <v>4665756</v>
      </c>
      <c r="B57">
        <v>1178.0999999999999</v>
      </c>
    </row>
    <row r="58" spans="1:2">
      <c r="A58">
        <v>4671352</v>
      </c>
      <c r="B58">
        <v>486.09</v>
      </c>
    </row>
    <row r="59" spans="1:2">
      <c r="A59">
        <v>4676053</v>
      </c>
      <c r="B59">
        <v>5211.3599999999997</v>
      </c>
    </row>
    <row r="60" spans="1:2">
      <c r="A60">
        <v>4687336</v>
      </c>
      <c r="B60">
        <v>2539.35</v>
      </c>
    </row>
    <row r="61" spans="1:2">
      <c r="A61">
        <v>4694879</v>
      </c>
      <c r="B61">
        <v>2609.64</v>
      </c>
    </row>
    <row r="62" spans="1:2">
      <c r="A62">
        <v>4697395</v>
      </c>
      <c r="B62">
        <v>536.58000000000004</v>
      </c>
    </row>
    <row r="63" spans="1:2">
      <c r="A63">
        <v>4702581</v>
      </c>
      <c r="B63">
        <v>6420.15</v>
      </c>
    </row>
    <row r="64" spans="1:2">
      <c r="A64">
        <v>4727309</v>
      </c>
      <c r="B64">
        <v>1981.98</v>
      </c>
    </row>
    <row r="65" spans="1:2">
      <c r="A65">
        <v>4742088</v>
      </c>
      <c r="B65">
        <v>3360.06</v>
      </c>
    </row>
    <row r="66" spans="1:2">
      <c r="A66">
        <v>4780923</v>
      </c>
      <c r="B66">
        <v>1848.33</v>
      </c>
    </row>
    <row r="67" spans="1:2">
      <c r="A67">
        <v>4872376</v>
      </c>
      <c r="B67">
        <v>495.99</v>
      </c>
    </row>
    <row r="68" spans="1:2">
      <c r="A68">
        <v>4891192</v>
      </c>
      <c r="B68">
        <v>3468.96</v>
      </c>
    </row>
    <row r="69" spans="1:2">
      <c r="A69">
        <v>4902329</v>
      </c>
      <c r="B69">
        <v>3628.35</v>
      </c>
    </row>
    <row r="70" spans="1:2">
      <c r="A70">
        <v>4908494</v>
      </c>
      <c r="B70">
        <v>1493.91</v>
      </c>
    </row>
    <row r="71" spans="1:2">
      <c r="A71">
        <v>4909378</v>
      </c>
      <c r="B71">
        <v>1574.1</v>
      </c>
    </row>
    <row r="72" spans="1:2">
      <c r="A72">
        <v>4926793</v>
      </c>
      <c r="B72">
        <v>1688.94</v>
      </c>
    </row>
    <row r="73" spans="1:2">
      <c r="A73">
        <v>4952152</v>
      </c>
      <c r="B73">
        <v>2719.53</v>
      </c>
    </row>
    <row r="74" spans="1:2">
      <c r="A74">
        <v>5025433</v>
      </c>
      <c r="B74">
        <v>2330.46</v>
      </c>
    </row>
    <row r="75" spans="1:2">
      <c r="A75">
        <v>5036274</v>
      </c>
      <c r="B75">
        <v>596.97</v>
      </c>
    </row>
    <row r="76" spans="1:2">
      <c r="A76">
        <v>5046111</v>
      </c>
      <c r="B76">
        <v>462.33</v>
      </c>
    </row>
    <row r="77" spans="1:2">
      <c r="A77">
        <v>5046496</v>
      </c>
      <c r="B77">
        <v>3744.18</v>
      </c>
    </row>
    <row r="78" spans="1:2">
      <c r="A78">
        <v>5058578</v>
      </c>
      <c r="B78">
        <v>1086.03</v>
      </c>
    </row>
    <row r="79" spans="1:2">
      <c r="A79">
        <v>5061023</v>
      </c>
      <c r="B79">
        <v>168.3</v>
      </c>
    </row>
    <row r="80" spans="1:2">
      <c r="A80">
        <v>5062979</v>
      </c>
      <c r="B80">
        <v>1123.6500000000001</v>
      </c>
    </row>
    <row r="81" spans="1:2">
      <c r="A81">
        <v>5068174</v>
      </c>
      <c r="B81">
        <v>1008.81</v>
      </c>
    </row>
    <row r="82" spans="1:2">
      <c r="A82">
        <v>5077579</v>
      </c>
      <c r="B82">
        <v>1646.37</v>
      </c>
    </row>
    <row r="83" spans="1:2">
      <c r="A83">
        <v>5077620</v>
      </c>
      <c r="B83">
        <v>1377.09</v>
      </c>
    </row>
    <row r="84" spans="1:2">
      <c r="A84">
        <v>5084605</v>
      </c>
      <c r="B84">
        <v>663.3</v>
      </c>
    </row>
    <row r="85" spans="1:2">
      <c r="A85">
        <v>5085347</v>
      </c>
      <c r="B85">
        <v>875.16</v>
      </c>
    </row>
    <row r="86" spans="1:2">
      <c r="A86" t="s">
        <v>2</v>
      </c>
      <c r="B86">
        <v>212565.87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79"/>
  <sheetViews>
    <sheetView tabSelected="1" workbookViewId="0">
      <selection activeCell="C12" sqref="C12"/>
    </sheetView>
  </sheetViews>
  <sheetFormatPr defaultColWidth="9.109375" defaultRowHeight="14.4"/>
  <cols>
    <col min="2" max="2" width="11.109375" customWidth="1"/>
    <col min="3" max="3" width="26.44140625" customWidth="1"/>
    <col min="4" max="4" width="19.44140625" customWidth="1"/>
    <col min="5" max="5" width="14.44140625" customWidth="1"/>
    <col min="17" max="17" width="10.109375" customWidth="1"/>
    <col min="19" max="19" width="18.33203125" customWidth="1"/>
    <col min="20" max="20" width="20.88671875" customWidth="1"/>
  </cols>
  <sheetData>
    <row r="1" spans="1:20">
      <c r="S1" s="7">
        <f>+SUBTOTAL(9,S3:S1811)</f>
        <v>8251.65</v>
      </c>
    </row>
    <row r="2" spans="1:20" ht="57.6">
      <c r="A2" s="1" t="s">
        <v>0</v>
      </c>
      <c r="B2" s="2" t="s">
        <v>3</v>
      </c>
      <c r="C2" s="1" t="s">
        <v>4</v>
      </c>
      <c r="D2" s="1" t="s">
        <v>5</v>
      </c>
      <c r="E2" s="1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8" t="s">
        <v>20</v>
      </c>
      <c r="T2" s="1" t="s">
        <v>21</v>
      </c>
    </row>
    <row r="3" spans="1:20">
      <c r="A3" s="4">
        <v>115423</v>
      </c>
      <c r="B3" s="5">
        <v>45511</v>
      </c>
      <c r="C3" s="4" t="s">
        <v>22</v>
      </c>
      <c r="D3" s="4" t="s">
        <v>23</v>
      </c>
      <c r="E3" s="4" t="s">
        <v>24</v>
      </c>
      <c r="F3" s="4">
        <v>17</v>
      </c>
      <c r="G3" s="4">
        <v>0</v>
      </c>
      <c r="H3" s="4">
        <v>6</v>
      </c>
      <c r="I3" s="4">
        <v>0</v>
      </c>
      <c r="J3">
        <v>17</v>
      </c>
      <c r="K3">
        <v>22</v>
      </c>
      <c r="L3">
        <v>8</v>
      </c>
      <c r="M3">
        <f>F3*J3</f>
        <v>289</v>
      </c>
      <c r="N3">
        <f>G3*K3</f>
        <v>0</v>
      </c>
      <c r="O3">
        <f>H3*L3</f>
        <v>48</v>
      </c>
      <c r="P3">
        <f>I3*2.5</f>
        <v>0</v>
      </c>
      <c r="Q3">
        <f>M3+N3+O3+P3</f>
        <v>337</v>
      </c>
      <c r="R3">
        <f>Q3*1%</f>
        <v>3.37</v>
      </c>
      <c r="S3">
        <f>Q3-R3</f>
        <v>333.63</v>
      </c>
      <c r="T3" t="s">
        <v>25</v>
      </c>
    </row>
    <row r="4" spans="1:20">
      <c r="A4" s="4">
        <v>115423</v>
      </c>
      <c r="B4" s="5">
        <v>45512</v>
      </c>
      <c r="C4" s="4" t="s">
        <v>22</v>
      </c>
      <c r="D4" s="4" t="s">
        <v>23</v>
      </c>
      <c r="E4" s="4" t="s">
        <v>24</v>
      </c>
      <c r="F4" s="4">
        <v>29</v>
      </c>
      <c r="G4" s="4">
        <v>0</v>
      </c>
      <c r="H4" s="4">
        <v>6</v>
      </c>
      <c r="I4" s="4">
        <v>0</v>
      </c>
      <c r="J4">
        <v>17</v>
      </c>
      <c r="K4">
        <v>22</v>
      </c>
      <c r="L4">
        <v>8</v>
      </c>
      <c r="M4">
        <f t="shared" ref="M4:M67" si="0">F4*J4</f>
        <v>493</v>
      </c>
      <c r="N4">
        <f t="shared" ref="N4:N67" si="1">G4*K4</f>
        <v>0</v>
      </c>
      <c r="O4">
        <f t="shared" ref="O4:O67" si="2">H4*L4</f>
        <v>48</v>
      </c>
      <c r="P4">
        <f t="shared" ref="P4:P67" si="3">I4*2.5</f>
        <v>0</v>
      </c>
      <c r="Q4">
        <f t="shared" ref="Q4:Q67" si="4">M4+N4+O4+P4</f>
        <v>541</v>
      </c>
      <c r="R4">
        <f t="shared" ref="R4:R67" si="5">Q4*1%</f>
        <v>5.41</v>
      </c>
      <c r="S4">
        <f t="shared" ref="S4:S67" si="6">Q4-R4</f>
        <v>535.59</v>
      </c>
      <c r="T4" t="s">
        <v>25</v>
      </c>
    </row>
    <row r="5" spans="1:20">
      <c r="A5" s="4">
        <v>115423</v>
      </c>
      <c r="B5" s="5">
        <v>45513</v>
      </c>
      <c r="C5" s="4" t="s">
        <v>22</v>
      </c>
      <c r="D5" s="4" t="s">
        <v>23</v>
      </c>
      <c r="E5" s="4" t="s">
        <v>24</v>
      </c>
      <c r="F5" s="4">
        <v>9</v>
      </c>
      <c r="G5" s="4">
        <v>0</v>
      </c>
      <c r="H5" s="4">
        <v>2</v>
      </c>
      <c r="I5" s="4">
        <v>0</v>
      </c>
      <c r="J5">
        <v>17</v>
      </c>
      <c r="K5">
        <v>22</v>
      </c>
      <c r="L5">
        <v>8</v>
      </c>
      <c r="M5">
        <f t="shared" si="0"/>
        <v>153</v>
      </c>
      <c r="N5">
        <f t="shared" si="1"/>
        <v>0</v>
      </c>
      <c r="O5">
        <f t="shared" si="2"/>
        <v>16</v>
      </c>
      <c r="P5">
        <f t="shared" si="3"/>
        <v>0</v>
      </c>
      <c r="Q5">
        <f t="shared" si="4"/>
        <v>169</v>
      </c>
      <c r="R5">
        <f t="shared" si="5"/>
        <v>1.69</v>
      </c>
      <c r="S5">
        <f t="shared" si="6"/>
        <v>167.31</v>
      </c>
      <c r="T5" t="s">
        <v>25</v>
      </c>
    </row>
    <row r="6" spans="1:20">
      <c r="A6" s="4">
        <v>218619</v>
      </c>
      <c r="B6" s="5">
        <v>45510</v>
      </c>
      <c r="C6" s="4" t="s">
        <v>26</v>
      </c>
      <c r="D6" s="4" t="s">
        <v>27</v>
      </c>
      <c r="E6" s="4" t="s">
        <v>24</v>
      </c>
      <c r="F6" s="4">
        <v>48</v>
      </c>
      <c r="G6" s="4">
        <v>21</v>
      </c>
      <c r="H6" s="4">
        <v>12</v>
      </c>
      <c r="I6" s="4">
        <v>0</v>
      </c>
      <c r="J6">
        <v>17</v>
      </c>
      <c r="K6">
        <v>22</v>
      </c>
      <c r="L6">
        <v>8</v>
      </c>
      <c r="M6">
        <f t="shared" si="0"/>
        <v>816</v>
      </c>
      <c r="N6">
        <f t="shared" si="1"/>
        <v>462</v>
      </c>
      <c r="O6">
        <f t="shared" si="2"/>
        <v>96</v>
      </c>
      <c r="P6">
        <f t="shared" si="3"/>
        <v>0</v>
      </c>
      <c r="Q6">
        <f t="shared" si="4"/>
        <v>1374</v>
      </c>
      <c r="R6">
        <f t="shared" si="5"/>
        <v>13.74</v>
      </c>
      <c r="S6">
        <f t="shared" si="6"/>
        <v>1360.26</v>
      </c>
      <c r="T6" t="s">
        <v>25</v>
      </c>
    </row>
    <row r="7" spans="1:20">
      <c r="A7" s="4">
        <v>218619</v>
      </c>
      <c r="B7" s="5">
        <v>45511</v>
      </c>
      <c r="C7" s="4" t="s">
        <v>26</v>
      </c>
      <c r="D7" s="4" t="s">
        <v>27</v>
      </c>
      <c r="E7" s="4" t="s">
        <v>24</v>
      </c>
      <c r="F7" s="4">
        <v>37</v>
      </c>
      <c r="G7" s="4">
        <v>25</v>
      </c>
      <c r="H7" s="4">
        <v>5</v>
      </c>
      <c r="I7" s="4">
        <v>0</v>
      </c>
      <c r="J7">
        <v>17</v>
      </c>
      <c r="K7">
        <v>22</v>
      </c>
      <c r="L7">
        <v>8</v>
      </c>
      <c r="M7">
        <f t="shared" si="0"/>
        <v>629</v>
      </c>
      <c r="N7">
        <f t="shared" si="1"/>
        <v>550</v>
      </c>
      <c r="O7">
        <f t="shared" si="2"/>
        <v>40</v>
      </c>
      <c r="P7">
        <f t="shared" si="3"/>
        <v>0</v>
      </c>
      <c r="Q7">
        <f t="shared" si="4"/>
        <v>1219</v>
      </c>
      <c r="R7">
        <f t="shared" si="5"/>
        <v>12.19</v>
      </c>
      <c r="S7">
        <f t="shared" si="6"/>
        <v>1206.81</v>
      </c>
      <c r="T7" t="s">
        <v>25</v>
      </c>
    </row>
    <row r="8" spans="1:20">
      <c r="A8" s="4">
        <v>218619</v>
      </c>
      <c r="B8" s="5">
        <v>45512</v>
      </c>
      <c r="C8" s="4" t="s">
        <v>26</v>
      </c>
      <c r="D8" s="4" t="s">
        <v>27</v>
      </c>
      <c r="E8" s="4" t="s">
        <v>24</v>
      </c>
      <c r="F8" s="4">
        <v>22</v>
      </c>
      <c r="G8" s="4">
        <v>16</v>
      </c>
      <c r="H8" s="4">
        <v>6</v>
      </c>
      <c r="I8" s="4">
        <v>0</v>
      </c>
      <c r="J8">
        <v>17</v>
      </c>
      <c r="K8">
        <v>22</v>
      </c>
      <c r="L8">
        <v>8</v>
      </c>
      <c r="M8">
        <f t="shared" si="0"/>
        <v>374</v>
      </c>
      <c r="N8">
        <f t="shared" si="1"/>
        <v>352</v>
      </c>
      <c r="O8">
        <f t="shared" si="2"/>
        <v>48</v>
      </c>
      <c r="P8">
        <f t="shared" si="3"/>
        <v>0</v>
      </c>
      <c r="Q8">
        <f t="shared" si="4"/>
        <v>774</v>
      </c>
      <c r="R8">
        <f t="shared" si="5"/>
        <v>7.74</v>
      </c>
      <c r="S8">
        <f t="shared" si="6"/>
        <v>766.26</v>
      </c>
      <c r="T8" t="s">
        <v>25</v>
      </c>
    </row>
    <row r="9" spans="1:20">
      <c r="A9" s="4">
        <v>218619</v>
      </c>
      <c r="B9" s="5">
        <v>45513</v>
      </c>
      <c r="C9" s="4" t="s">
        <v>26</v>
      </c>
      <c r="D9" s="4" t="s">
        <v>27</v>
      </c>
      <c r="E9" s="4" t="s">
        <v>24</v>
      </c>
      <c r="F9" s="4">
        <v>44</v>
      </c>
      <c r="G9" s="4">
        <v>25</v>
      </c>
      <c r="H9" s="4">
        <v>17</v>
      </c>
      <c r="I9" s="4">
        <v>0</v>
      </c>
      <c r="J9">
        <v>17</v>
      </c>
      <c r="K9">
        <v>22</v>
      </c>
      <c r="L9">
        <v>8</v>
      </c>
      <c r="M9">
        <f t="shared" si="0"/>
        <v>748</v>
      </c>
      <c r="N9">
        <f t="shared" si="1"/>
        <v>550</v>
      </c>
      <c r="O9">
        <f t="shared" si="2"/>
        <v>136</v>
      </c>
      <c r="P9">
        <f t="shared" si="3"/>
        <v>0</v>
      </c>
      <c r="Q9">
        <f t="shared" si="4"/>
        <v>1434</v>
      </c>
      <c r="R9">
        <f t="shared" si="5"/>
        <v>14.34</v>
      </c>
      <c r="S9">
        <f t="shared" si="6"/>
        <v>1419.66</v>
      </c>
      <c r="T9" t="s">
        <v>25</v>
      </c>
    </row>
    <row r="10" spans="1:20">
      <c r="A10" s="4">
        <v>218619</v>
      </c>
      <c r="B10" s="5">
        <v>45514</v>
      </c>
      <c r="C10" s="4" t="s">
        <v>26</v>
      </c>
      <c r="D10" s="4" t="s">
        <v>27</v>
      </c>
      <c r="E10" s="4" t="s">
        <v>24</v>
      </c>
      <c r="F10" s="4">
        <v>29</v>
      </c>
      <c r="G10" s="4">
        <v>23</v>
      </c>
      <c r="H10" s="4">
        <v>29</v>
      </c>
      <c r="I10" s="4">
        <v>0</v>
      </c>
      <c r="J10">
        <v>17</v>
      </c>
      <c r="K10">
        <v>22</v>
      </c>
      <c r="L10">
        <v>8</v>
      </c>
      <c r="M10">
        <f t="shared" si="0"/>
        <v>493</v>
      </c>
      <c r="N10">
        <f t="shared" si="1"/>
        <v>506</v>
      </c>
      <c r="O10">
        <f t="shared" si="2"/>
        <v>232</v>
      </c>
      <c r="P10">
        <f t="shared" si="3"/>
        <v>0</v>
      </c>
      <c r="Q10">
        <f t="shared" si="4"/>
        <v>1231</v>
      </c>
      <c r="R10">
        <f t="shared" si="5"/>
        <v>12.31</v>
      </c>
      <c r="S10">
        <f t="shared" si="6"/>
        <v>1218.69</v>
      </c>
      <c r="T10" t="s">
        <v>25</v>
      </c>
    </row>
    <row r="11" spans="1:20">
      <c r="A11" s="4">
        <v>218619</v>
      </c>
      <c r="B11" s="5">
        <v>45515</v>
      </c>
      <c r="C11" s="4" t="s">
        <v>26</v>
      </c>
      <c r="D11" s="4" t="s">
        <v>27</v>
      </c>
      <c r="E11" s="4" t="s">
        <v>24</v>
      </c>
      <c r="F11" s="4">
        <v>32</v>
      </c>
      <c r="G11" s="4">
        <v>28</v>
      </c>
      <c r="H11" s="4">
        <v>12</v>
      </c>
      <c r="I11" s="4">
        <v>0</v>
      </c>
      <c r="J11">
        <v>17</v>
      </c>
      <c r="K11">
        <v>22</v>
      </c>
      <c r="L11">
        <v>8</v>
      </c>
      <c r="M11">
        <f t="shared" si="0"/>
        <v>544</v>
      </c>
      <c r="N11">
        <f t="shared" si="1"/>
        <v>616</v>
      </c>
      <c r="O11">
        <f t="shared" si="2"/>
        <v>96</v>
      </c>
      <c r="P11">
        <f t="shared" si="3"/>
        <v>0</v>
      </c>
      <c r="Q11">
        <f t="shared" si="4"/>
        <v>1256</v>
      </c>
      <c r="R11">
        <f t="shared" si="5"/>
        <v>12.56</v>
      </c>
      <c r="S11">
        <f t="shared" si="6"/>
        <v>1243.44</v>
      </c>
      <c r="T11" t="s">
        <v>25</v>
      </c>
    </row>
    <row r="12" spans="1:20">
      <c r="A12" s="4"/>
      <c r="B12" s="5"/>
      <c r="C12" s="4"/>
      <c r="D12" s="4"/>
      <c r="E12" s="4"/>
      <c r="F12" s="4"/>
      <c r="G12" s="4"/>
      <c r="H12" s="4"/>
      <c r="I12" s="4"/>
    </row>
    <row r="13" spans="1:20">
      <c r="A13" s="4"/>
      <c r="B13" s="5"/>
      <c r="C13" s="4"/>
      <c r="D13" s="4"/>
      <c r="E13" s="4"/>
      <c r="F13" s="4"/>
      <c r="G13" s="4"/>
      <c r="H13" s="4"/>
      <c r="I13" s="4"/>
    </row>
    <row r="14" spans="1:20">
      <c r="A14" s="4"/>
      <c r="B14" s="5"/>
      <c r="C14" s="4"/>
      <c r="D14" s="4"/>
      <c r="E14" s="4"/>
      <c r="F14" s="4"/>
      <c r="G14" s="4"/>
      <c r="H14" s="4"/>
      <c r="I14" s="4"/>
    </row>
    <row r="15" spans="1:20">
      <c r="A15" s="4"/>
      <c r="B15" s="5"/>
      <c r="C15" s="4"/>
      <c r="D15" s="4"/>
      <c r="E15" s="4"/>
      <c r="F15" s="4"/>
      <c r="G15" s="4"/>
      <c r="H15" s="4"/>
      <c r="I15" s="4"/>
    </row>
    <row r="16" spans="1:20">
      <c r="A16" s="4"/>
      <c r="B16" s="5"/>
      <c r="C16" s="4"/>
      <c r="D16" s="4"/>
      <c r="E16" s="4"/>
      <c r="F16" s="4"/>
      <c r="G16" s="4"/>
      <c r="H16" s="4"/>
      <c r="I16" s="4"/>
    </row>
    <row r="17" spans="1:9">
      <c r="A17" s="4"/>
      <c r="B17" s="5"/>
      <c r="C17" s="4"/>
      <c r="D17" s="4"/>
      <c r="E17" s="4"/>
      <c r="F17" s="4"/>
      <c r="G17" s="4"/>
      <c r="H17" s="4"/>
      <c r="I17" s="4"/>
    </row>
    <row r="18" spans="1:9">
      <c r="A18" s="4"/>
      <c r="B18" s="5"/>
      <c r="C18" s="4"/>
      <c r="D18" s="4"/>
      <c r="E18" s="4"/>
      <c r="F18" s="4"/>
      <c r="G18" s="4"/>
      <c r="H18" s="4"/>
      <c r="I18" s="4"/>
    </row>
    <row r="19" spans="1:9">
      <c r="A19" s="4"/>
      <c r="B19" s="5"/>
      <c r="C19" s="4"/>
      <c r="D19" s="4"/>
      <c r="E19" s="4"/>
      <c r="F19" s="4"/>
      <c r="G19" s="4"/>
      <c r="H19" s="4"/>
      <c r="I19" s="4"/>
    </row>
    <row r="20" spans="1:9">
      <c r="A20" s="4"/>
      <c r="B20" s="5"/>
      <c r="C20" s="4"/>
      <c r="D20" s="4"/>
      <c r="E20" s="4"/>
      <c r="F20" s="4"/>
      <c r="G20" s="4"/>
      <c r="H20" s="4"/>
      <c r="I20" s="4"/>
    </row>
    <row r="21" spans="1:9">
      <c r="A21" s="4"/>
      <c r="B21" s="5"/>
      <c r="C21" s="4"/>
      <c r="D21" s="4"/>
      <c r="E21" s="4"/>
      <c r="F21" s="4"/>
      <c r="G21" s="4"/>
      <c r="H21" s="4"/>
      <c r="I21" s="4"/>
    </row>
    <row r="22" spans="1:9">
      <c r="A22" s="4"/>
      <c r="B22" s="5"/>
      <c r="C22" s="4"/>
      <c r="D22" s="4"/>
      <c r="E22" s="4"/>
      <c r="F22" s="4"/>
      <c r="G22" s="4"/>
      <c r="H22" s="4"/>
      <c r="I22" s="4"/>
    </row>
    <row r="23" spans="1:9">
      <c r="A23" s="4"/>
      <c r="B23" s="5"/>
      <c r="C23" s="4"/>
      <c r="D23" s="4"/>
      <c r="E23" s="4"/>
      <c r="F23" s="4"/>
      <c r="G23" s="4"/>
      <c r="H23" s="4"/>
      <c r="I23" s="4"/>
    </row>
    <row r="24" spans="1:9">
      <c r="A24" s="4"/>
      <c r="B24" s="5"/>
      <c r="C24" s="4"/>
      <c r="D24" s="4"/>
      <c r="E24" s="4"/>
      <c r="F24" s="4"/>
      <c r="G24" s="4"/>
      <c r="H24" s="4"/>
      <c r="I24" s="4"/>
    </row>
    <row r="25" spans="1:9">
      <c r="A25" s="4"/>
      <c r="B25" s="5"/>
      <c r="C25" s="4"/>
      <c r="D25" s="4"/>
      <c r="E25" s="4"/>
      <c r="F25" s="4"/>
      <c r="G25" s="4"/>
      <c r="H25" s="4"/>
      <c r="I25" s="4"/>
    </row>
    <row r="26" spans="1:9">
      <c r="A26" s="4"/>
      <c r="B26" s="5"/>
      <c r="C26" s="4"/>
      <c r="D26" s="4"/>
      <c r="E26" s="4"/>
      <c r="F26" s="4"/>
      <c r="G26" s="4"/>
      <c r="H26" s="4"/>
      <c r="I26" s="4"/>
    </row>
    <row r="27" spans="1:9">
      <c r="A27" s="4"/>
      <c r="B27" s="5"/>
      <c r="C27" s="4"/>
      <c r="D27" s="4"/>
      <c r="E27" s="4"/>
      <c r="F27" s="4"/>
      <c r="G27" s="4"/>
      <c r="H27" s="4"/>
      <c r="I27" s="4"/>
    </row>
    <row r="28" spans="1:9">
      <c r="A28" s="4"/>
      <c r="B28" s="5"/>
      <c r="C28" s="4"/>
      <c r="D28" s="4"/>
      <c r="E28" s="4"/>
      <c r="F28" s="4"/>
      <c r="G28" s="4"/>
      <c r="H28" s="4"/>
      <c r="I28" s="4"/>
    </row>
    <row r="29" spans="1:9">
      <c r="A29" s="4"/>
      <c r="B29" s="5"/>
      <c r="C29" s="4"/>
      <c r="D29" s="4"/>
      <c r="E29" s="4"/>
      <c r="F29" s="4"/>
      <c r="G29" s="4"/>
      <c r="H29" s="4"/>
      <c r="I29" s="4"/>
    </row>
    <row r="30" spans="1:9">
      <c r="A30" s="4"/>
      <c r="B30" s="5"/>
      <c r="C30" s="4"/>
      <c r="D30" s="4"/>
      <c r="E30" s="4"/>
      <c r="F30" s="4"/>
      <c r="G30" s="4"/>
      <c r="H30" s="4"/>
      <c r="I30" s="4"/>
    </row>
    <row r="31" spans="1:9">
      <c r="A31" s="4"/>
      <c r="B31" s="5"/>
      <c r="C31" s="4"/>
      <c r="D31" s="4"/>
      <c r="E31" s="4"/>
      <c r="F31" s="4"/>
      <c r="G31" s="4"/>
      <c r="H31" s="4"/>
      <c r="I31" s="4"/>
    </row>
    <row r="32" spans="1:9">
      <c r="A32" s="4"/>
      <c r="B32" s="5"/>
      <c r="C32" s="4"/>
      <c r="D32" s="4"/>
      <c r="E32" s="4"/>
      <c r="F32" s="4"/>
      <c r="G32" s="4"/>
      <c r="H32" s="4"/>
      <c r="I32" s="4"/>
    </row>
    <row r="33" spans="1:9">
      <c r="A33" s="4"/>
      <c r="B33" s="5"/>
      <c r="C33" s="4"/>
      <c r="D33" s="4"/>
      <c r="E33" s="4"/>
      <c r="F33" s="4"/>
      <c r="G33" s="4"/>
      <c r="H33" s="4"/>
      <c r="I33" s="4"/>
    </row>
    <row r="34" spans="1:9">
      <c r="A34" s="4"/>
      <c r="B34" s="5"/>
      <c r="C34" s="4"/>
      <c r="D34" s="4"/>
      <c r="E34" s="4"/>
      <c r="F34" s="4"/>
      <c r="G34" s="4"/>
      <c r="H34" s="4"/>
      <c r="I34" s="4"/>
    </row>
    <row r="35" spans="1:9">
      <c r="A35" s="4"/>
      <c r="B35" s="5"/>
      <c r="C35" s="4"/>
      <c r="D35" s="4"/>
      <c r="E35" s="4"/>
      <c r="F35" s="4"/>
      <c r="G35" s="4"/>
      <c r="H35" s="4"/>
      <c r="I35" s="4"/>
    </row>
    <row r="36" spans="1:9">
      <c r="A36" s="4"/>
      <c r="B36" s="5"/>
      <c r="C36" s="4"/>
      <c r="D36" s="4"/>
      <c r="E36" s="4"/>
      <c r="F36" s="4"/>
      <c r="G36" s="4"/>
      <c r="H36" s="4"/>
      <c r="I36" s="4"/>
    </row>
    <row r="37" spans="1:9">
      <c r="A37" s="4"/>
      <c r="B37" s="5"/>
      <c r="C37" s="4"/>
      <c r="D37" s="4"/>
      <c r="E37" s="4"/>
      <c r="F37" s="4"/>
      <c r="G37" s="4"/>
      <c r="H37" s="4"/>
      <c r="I37" s="4"/>
    </row>
    <row r="38" spans="1:9">
      <c r="A38" s="4"/>
      <c r="B38" s="5"/>
      <c r="C38" s="4"/>
      <c r="D38" s="4"/>
      <c r="E38" s="4"/>
      <c r="F38" s="4"/>
      <c r="G38" s="4"/>
      <c r="H38" s="4"/>
      <c r="I38" s="4"/>
    </row>
    <row r="39" spans="1:9">
      <c r="A39" s="4"/>
      <c r="B39" s="5"/>
      <c r="C39" s="4"/>
      <c r="D39" s="4"/>
      <c r="E39" s="4"/>
      <c r="F39" s="4"/>
      <c r="G39" s="4"/>
      <c r="H39" s="4"/>
      <c r="I39" s="4"/>
    </row>
    <row r="40" spans="1:9">
      <c r="A40" s="4"/>
      <c r="B40" s="5"/>
      <c r="C40" s="4"/>
      <c r="D40" s="4"/>
      <c r="E40" s="4"/>
      <c r="F40" s="4"/>
      <c r="G40" s="4"/>
      <c r="H40" s="4"/>
      <c r="I40" s="4"/>
    </row>
    <row r="41" spans="1:9">
      <c r="A41" s="4"/>
      <c r="B41" s="5"/>
      <c r="C41" s="4"/>
      <c r="D41" s="4"/>
      <c r="E41" s="4"/>
      <c r="F41" s="4"/>
      <c r="G41" s="4"/>
      <c r="H41" s="4"/>
      <c r="I41" s="4"/>
    </row>
    <row r="42" spans="1:9">
      <c r="A42" s="4"/>
      <c r="B42" s="5"/>
      <c r="C42" s="4"/>
      <c r="D42" s="4"/>
      <c r="E42" s="4"/>
      <c r="F42" s="4"/>
      <c r="G42" s="4"/>
      <c r="H42" s="4"/>
      <c r="I42" s="4"/>
    </row>
    <row r="43" spans="1:9">
      <c r="A43" s="4"/>
      <c r="B43" s="5"/>
      <c r="C43" s="4"/>
      <c r="D43" s="4"/>
      <c r="E43" s="4"/>
      <c r="F43" s="4"/>
      <c r="G43" s="4"/>
      <c r="H43" s="4"/>
      <c r="I43" s="4"/>
    </row>
    <row r="44" spans="1:9">
      <c r="A44" s="4"/>
      <c r="B44" s="5"/>
      <c r="C44" s="4"/>
      <c r="D44" s="4"/>
      <c r="E44" s="4"/>
      <c r="F44" s="4"/>
      <c r="G44" s="4"/>
      <c r="H44" s="4"/>
      <c r="I44" s="4"/>
    </row>
    <row r="45" spans="1:9">
      <c r="A45" s="4"/>
      <c r="B45" s="5"/>
      <c r="C45" s="4"/>
      <c r="D45" s="4"/>
      <c r="E45" s="4"/>
      <c r="F45" s="4"/>
      <c r="G45" s="4"/>
      <c r="H45" s="4"/>
      <c r="I45" s="4"/>
    </row>
    <row r="46" spans="1:9">
      <c r="A46" s="4"/>
      <c r="B46" s="5"/>
      <c r="C46" s="4"/>
      <c r="D46" s="4"/>
      <c r="E46" s="4"/>
      <c r="F46" s="4"/>
      <c r="G46" s="4"/>
      <c r="H46" s="4"/>
      <c r="I46" s="4"/>
    </row>
    <row r="47" spans="1:9">
      <c r="A47" s="4"/>
      <c r="B47" s="5"/>
      <c r="C47" s="4"/>
      <c r="D47" s="4"/>
      <c r="E47" s="4"/>
      <c r="F47" s="4"/>
      <c r="G47" s="4"/>
      <c r="H47" s="4"/>
      <c r="I47" s="4"/>
    </row>
    <row r="48" spans="1:9">
      <c r="A48" s="4"/>
      <c r="B48" s="5"/>
      <c r="C48" s="4"/>
      <c r="D48" s="4"/>
      <c r="E48" s="4"/>
      <c r="F48" s="4"/>
      <c r="G48" s="4"/>
      <c r="H48" s="4"/>
      <c r="I48" s="4"/>
    </row>
    <row r="49" spans="1:9">
      <c r="A49" s="4"/>
      <c r="B49" s="5"/>
      <c r="C49" s="4"/>
      <c r="D49" s="4"/>
      <c r="E49" s="4"/>
      <c r="F49" s="4"/>
      <c r="G49" s="4"/>
      <c r="H49" s="4"/>
      <c r="I49" s="4"/>
    </row>
    <row r="50" spans="1:9">
      <c r="A50" s="4"/>
      <c r="B50" s="5"/>
      <c r="C50" s="4"/>
      <c r="D50" s="4"/>
      <c r="E50" s="4"/>
      <c r="F50" s="4"/>
      <c r="G50" s="4"/>
      <c r="H50" s="4"/>
      <c r="I50" s="4"/>
    </row>
    <row r="51" spans="1:9">
      <c r="A51" s="4"/>
      <c r="B51" s="5"/>
      <c r="C51" s="4"/>
      <c r="D51" s="4"/>
      <c r="E51" s="4"/>
      <c r="F51" s="4"/>
      <c r="G51" s="4"/>
      <c r="H51" s="4"/>
      <c r="I51" s="4"/>
    </row>
    <row r="52" spans="1:9">
      <c r="A52" s="4"/>
      <c r="B52" s="5"/>
      <c r="C52" s="4"/>
      <c r="D52" s="4"/>
      <c r="E52" s="4"/>
      <c r="F52" s="4"/>
      <c r="G52" s="4"/>
      <c r="H52" s="4"/>
      <c r="I52" s="4"/>
    </row>
    <row r="53" spans="1:9">
      <c r="A53" s="4"/>
      <c r="B53" s="5"/>
      <c r="C53" s="4"/>
      <c r="D53" s="4"/>
      <c r="E53" s="4"/>
      <c r="F53" s="4"/>
      <c r="G53" s="4"/>
      <c r="H53" s="4"/>
      <c r="I53" s="4"/>
    </row>
    <row r="54" spans="1:9">
      <c r="A54" s="4"/>
      <c r="B54" s="5"/>
      <c r="C54" s="4"/>
      <c r="D54" s="4"/>
      <c r="E54" s="4"/>
      <c r="F54" s="4"/>
      <c r="G54" s="4"/>
      <c r="H54" s="4"/>
      <c r="I54" s="4"/>
    </row>
    <row r="55" spans="1:9">
      <c r="A55" s="4"/>
      <c r="B55" s="5"/>
      <c r="C55" s="4"/>
      <c r="D55" s="4"/>
      <c r="E55" s="4"/>
      <c r="F55" s="4"/>
      <c r="G55" s="4"/>
      <c r="H55" s="4"/>
      <c r="I55" s="4"/>
    </row>
    <row r="56" spans="1:9">
      <c r="A56" s="4"/>
      <c r="B56" s="5"/>
      <c r="C56" s="4"/>
      <c r="D56" s="4"/>
      <c r="E56" s="4"/>
      <c r="F56" s="4"/>
      <c r="G56" s="4"/>
      <c r="H56" s="4"/>
      <c r="I56" s="4"/>
    </row>
    <row r="57" spans="1:9">
      <c r="A57" s="4"/>
      <c r="B57" s="5"/>
      <c r="C57" s="4"/>
      <c r="D57" s="4"/>
      <c r="E57" s="4"/>
      <c r="F57" s="4"/>
      <c r="G57" s="4"/>
      <c r="H57" s="4"/>
      <c r="I57" s="4"/>
    </row>
    <row r="58" spans="1:9">
      <c r="A58" s="4"/>
      <c r="B58" s="5"/>
      <c r="C58" s="4"/>
      <c r="D58" s="4"/>
      <c r="E58" s="4"/>
      <c r="F58" s="4"/>
      <c r="G58" s="4"/>
      <c r="H58" s="4"/>
      <c r="I58" s="4"/>
    </row>
    <row r="59" spans="1:9">
      <c r="A59" s="4"/>
      <c r="B59" s="5"/>
      <c r="C59" s="4"/>
      <c r="D59" s="4"/>
      <c r="E59" s="4"/>
      <c r="F59" s="4"/>
      <c r="G59" s="4"/>
      <c r="H59" s="4"/>
      <c r="I59" s="4"/>
    </row>
    <row r="60" spans="1:9">
      <c r="A60" s="4"/>
      <c r="B60" s="5"/>
      <c r="C60" s="4"/>
      <c r="D60" s="4"/>
      <c r="E60" s="4"/>
      <c r="F60" s="4"/>
      <c r="G60" s="4"/>
      <c r="H60" s="4"/>
      <c r="I60" s="4"/>
    </row>
    <row r="61" spans="1:9">
      <c r="A61" s="4"/>
      <c r="B61" s="5"/>
      <c r="C61" s="4"/>
      <c r="D61" s="4"/>
      <c r="E61" s="4"/>
      <c r="F61" s="4"/>
      <c r="G61" s="4"/>
      <c r="H61" s="4"/>
      <c r="I61" s="4"/>
    </row>
    <row r="62" spans="1:9">
      <c r="A62" s="4"/>
      <c r="B62" s="5"/>
      <c r="C62" s="4"/>
      <c r="D62" s="4"/>
      <c r="E62" s="4"/>
      <c r="F62" s="4"/>
      <c r="G62" s="4"/>
      <c r="H62" s="4"/>
      <c r="I62" s="4"/>
    </row>
    <row r="63" spans="1:9">
      <c r="A63" s="4"/>
      <c r="B63" s="5"/>
      <c r="C63" s="4"/>
      <c r="D63" s="4"/>
      <c r="E63" s="4"/>
      <c r="F63" s="4"/>
      <c r="G63" s="4"/>
      <c r="H63" s="4"/>
      <c r="I63" s="4"/>
    </row>
    <row r="64" spans="1:9">
      <c r="A64" s="4"/>
      <c r="B64" s="5"/>
      <c r="C64" s="4"/>
      <c r="D64" s="4"/>
      <c r="E64" s="4"/>
      <c r="F64" s="4"/>
      <c r="G64" s="4"/>
      <c r="H64" s="4"/>
      <c r="I64" s="4"/>
    </row>
    <row r="65" spans="1:9">
      <c r="A65" s="4"/>
      <c r="B65" s="5"/>
      <c r="C65" s="4"/>
      <c r="D65" s="4"/>
      <c r="E65" s="4"/>
      <c r="F65" s="4"/>
      <c r="G65" s="4"/>
      <c r="H65" s="4"/>
      <c r="I65" s="4"/>
    </row>
    <row r="66" spans="1:9">
      <c r="A66" s="4"/>
      <c r="B66" s="5"/>
      <c r="C66" s="4"/>
      <c r="D66" s="4"/>
      <c r="E66" s="4"/>
      <c r="F66" s="4"/>
      <c r="G66" s="4"/>
      <c r="H66" s="4"/>
      <c r="I66" s="4"/>
    </row>
    <row r="67" spans="1:9">
      <c r="A67" s="4"/>
      <c r="B67" s="5"/>
      <c r="C67" s="4"/>
      <c r="D67" s="4"/>
      <c r="E67" s="4"/>
      <c r="F67" s="4"/>
      <c r="G67" s="4"/>
      <c r="H67" s="4"/>
      <c r="I67" s="4"/>
    </row>
    <row r="68" spans="1:9">
      <c r="A68" s="4"/>
      <c r="B68" s="5"/>
      <c r="C68" s="4"/>
      <c r="D68" s="4"/>
      <c r="E68" s="4"/>
      <c r="F68" s="4"/>
      <c r="G68" s="4"/>
      <c r="H68" s="4"/>
      <c r="I68" s="4"/>
    </row>
    <row r="69" spans="1:9">
      <c r="A69" s="4"/>
      <c r="B69" s="5"/>
      <c r="C69" s="4"/>
      <c r="D69" s="4"/>
      <c r="E69" s="4"/>
      <c r="F69" s="4"/>
      <c r="G69" s="4"/>
      <c r="H69" s="4"/>
      <c r="I69" s="4"/>
    </row>
    <row r="70" spans="1:9">
      <c r="A70" s="4"/>
      <c r="B70" s="5"/>
      <c r="C70" s="4"/>
      <c r="D70" s="4"/>
      <c r="E70" s="4"/>
      <c r="F70" s="4"/>
      <c r="G70" s="4"/>
      <c r="H70" s="4"/>
      <c r="I70" s="4"/>
    </row>
    <row r="71" spans="1:9">
      <c r="A71" s="4"/>
      <c r="B71" s="5"/>
      <c r="C71" s="4"/>
      <c r="D71" s="4"/>
      <c r="E71" s="4"/>
      <c r="F71" s="4"/>
      <c r="G71" s="4"/>
      <c r="H71" s="4"/>
      <c r="I71" s="4"/>
    </row>
    <row r="72" spans="1:9">
      <c r="A72" s="4"/>
      <c r="B72" s="5"/>
      <c r="C72" s="4"/>
      <c r="D72" s="4"/>
      <c r="E72" s="4"/>
      <c r="F72" s="4"/>
      <c r="G72" s="4"/>
      <c r="H72" s="4"/>
      <c r="I72" s="4"/>
    </row>
    <row r="73" spans="1:9">
      <c r="A73" s="4"/>
      <c r="B73" s="5"/>
      <c r="C73" s="4"/>
      <c r="D73" s="4"/>
      <c r="E73" s="4"/>
      <c r="F73" s="4"/>
      <c r="G73" s="4"/>
      <c r="H73" s="4"/>
      <c r="I73" s="4"/>
    </row>
    <row r="74" spans="1:9">
      <c r="A74" s="4"/>
      <c r="B74" s="5"/>
      <c r="C74" s="4"/>
      <c r="D74" s="4"/>
      <c r="E74" s="4"/>
      <c r="F74" s="4"/>
      <c r="G74" s="4"/>
      <c r="H74" s="4"/>
      <c r="I74" s="4"/>
    </row>
    <row r="75" spans="1:9">
      <c r="A75" s="4"/>
      <c r="B75" s="5"/>
      <c r="C75" s="4"/>
      <c r="D75" s="4"/>
      <c r="E75" s="4"/>
      <c r="F75" s="4"/>
      <c r="G75" s="4"/>
      <c r="H75" s="4"/>
      <c r="I75" s="4"/>
    </row>
    <row r="76" spans="1:9">
      <c r="A76" s="4"/>
      <c r="B76" s="5"/>
      <c r="C76" s="4"/>
      <c r="D76" s="4"/>
      <c r="E76" s="4"/>
      <c r="F76" s="4"/>
      <c r="G76" s="4"/>
      <c r="H76" s="4"/>
      <c r="I76" s="4"/>
    </row>
    <row r="77" spans="1:9">
      <c r="A77" s="4"/>
      <c r="B77" s="5"/>
      <c r="C77" s="4"/>
      <c r="D77" s="4"/>
      <c r="E77" s="4"/>
      <c r="F77" s="4"/>
      <c r="G77" s="4"/>
      <c r="H77" s="4"/>
      <c r="I77" s="4"/>
    </row>
    <row r="78" spans="1:9">
      <c r="A78" s="4"/>
      <c r="B78" s="5"/>
      <c r="C78" s="4"/>
      <c r="D78" s="4"/>
      <c r="E78" s="4"/>
      <c r="F78" s="4"/>
      <c r="G78" s="4"/>
      <c r="H78" s="4"/>
      <c r="I78" s="4"/>
    </row>
    <row r="79" spans="1:9">
      <c r="A79" s="4"/>
      <c r="B79" s="5"/>
      <c r="C79" s="4"/>
      <c r="D79" s="4"/>
      <c r="E79" s="4"/>
      <c r="F79" s="4"/>
      <c r="G79" s="4"/>
      <c r="H79" s="4"/>
      <c r="I79" s="4"/>
    </row>
    <row r="80" spans="1:9">
      <c r="A80" s="4"/>
      <c r="B80" s="5"/>
      <c r="C80" s="4"/>
      <c r="D80" s="4"/>
      <c r="E80" s="4"/>
      <c r="F80" s="4"/>
      <c r="G80" s="4"/>
      <c r="H80" s="4"/>
      <c r="I80" s="4"/>
    </row>
    <row r="81" spans="1:9">
      <c r="A81" s="4"/>
      <c r="B81" s="5"/>
      <c r="C81" s="4"/>
      <c r="D81" s="4"/>
      <c r="E81" s="4"/>
      <c r="F81" s="4"/>
      <c r="G81" s="4"/>
      <c r="H81" s="4"/>
      <c r="I81" s="4"/>
    </row>
    <row r="82" spans="1:9">
      <c r="A82" s="4"/>
      <c r="B82" s="5"/>
      <c r="C82" s="4"/>
      <c r="D82" s="4"/>
      <c r="E82" s="4"/>
      <c r="F82" s="4"/>
      <c r="G82" s="4"/>
      <c r="H82" s="4"/>
      <c r="I82" s="4"/>
    </row>
    <row r="83" spans="1:9">
      <c r="A83" s="4"/>
      <c r="B83" s="5"/>
      <c r="C83" s="4"/>
      <c r="D83" s="4"/>
      <c r="E83" s="4"/>
      <c r="F83" s="4"/>
      <c r="G83" s="4"/>
      <c r="H83" s="4"/>
      <c r="I83" s="4"/>
    </row>
    <row r="84" spans="1:9">
      <c r="A84" s="4"/>
      <c r="B84" s="5"/>
      <c r="C84" s="4"/>
      <c r="D84" s="4"/>
      <c r="E84" s="4"/>
      <c r="F84" s="4"/>
      <c r="G84" s="4"/>
      <c r="H84" s="4"/>
      <c r="I84" s="4"/>
    </row>
    <row r="85" spans="1:9">
      <c r="A85" s="4"/>
      <c r="B85" s="5"/>
      <c r="C85" s="4"/>
      <c r="D85" s="4"/>
      <c r="E85" s="4"/>
      <c r="F85" s="4"/>
      <c r="G85" s="4"/>
      <c r="H85" s="4"/>
      <c r="I85" s="4"/>
    </row>
    <row r="86" spans="1:9">
      <c r="A86" s="4"/>
      <c r="B86" s="5"/>
      <c r="C86" s="4"/>
      <c r="D86" s="4"/>
      <c r="E86" s="4"/>
      <c r="F86" s="4"/>
      <c r="G86" s="4"/>
      <c r="H86" s="4"/>
      <c r="I86" s="4"/>
    </row>
    <row r="87" spans="1:9">
      <c r="A87" s="4"/>
      <c r="B87" s="5"/>
      <c r="C87" s="4"/>
      <c r="D87" s="4"/>
      <c r="E87" s="4"/>
      <c r="F87" s="4"/>
      <c r="G87" s="4"/>
      <c r="H87" s="4"/>
      <c r="I87" s="4"/>
    </row>
    <row r="88" spans="1:9">
      <c r="A88" s="4"/>
      <c r="B88" s="5"/>
      <c r="C88" s="4"/>
      <c r="D88" s="4"/>
      <c r="E88" s="4"/>
      <c r="F88" s="4"/>
      <c r="G88" s="4"/>
      <c r="H88" s="4"/>
      <c r="I88" s="4"/>
    </row>
    <row r="89" spans="1:9">
      <c r="A89" s="4"/>
      <c r="B89" s="5"/>
      <c r="C89" s="4"/>
      <c r="D89" s="4"/>
      <c r="E89" s="4"/>
      <c r="F89" s="4"/>
      <c r="G89" s="4"/>
      <c r="H89" s="4"/>
      <c r="I89" s="4"/>
    </row>
    <row r="90" spans="1:9">
      <c r="A90" s="4"/>
      <c r="B90" s="5"/>
      <c r="C90" s="4"/>
      <c r="D90" s="4"/>
      <c r="E90" s="4"/>
      <c r="F90" s="4"/>
      <c r="G90" s="4"/>
      <c r="H90" s="4"/>
      <c r="I90" s="4"/>
    </row>
    <row r="91" spans="1:9">
      <c r="A91" s="4"/>
      <c r="B91" s="5"/>
      <c r="C91" s="4"/>
      <c r="D91" s="4"/>
      <c r="E91" s="4"/>
      <c r="F91" s="4"/>
      <c r="G91" s="4"/>
      <c r="H91" s="4"/>
      <c r="I91" s="4"/>
    </row>
    <row r="92" spans="1:9">
      <c r="A92" s="4"/>
      <c r="B92" s="5"/>
      <c r="C92" s="4"/>
      <c r="D92" s="4"/>
      <c r="E92" s="4"/>
      <c r="F92" s="4"/>
      <c r="G92" s="4"/>
      <c r="H92" s="4"/>
      <c r="I92" s="4"/>
    </row>
    <row r="93" spans="1:9">
      <c r="A93" s="4"/>
      <c r="B93" s="5"/>
      <c r="C93" s="4"/>
      <c r="D93" s="4"/>
      <c r="E93" s="4"/>
      <c r="F93" s="4"/>
      <c r="G93" s="4"/>
      <c r="H93" s="4"/>
      <c r="I93" s="4"/>
    </row>
    <row r="94" spans="1:9">
      <c r="A94" s="4"/>
      <c r="B94" s="5"/>
      <c r="C94" s="4"/>
      <c r="D94" s="4"/>
      <c r="E94" s="4"/>
      <c r="F94" s="4"/>
      <c r="G94" s="4"/>
      <c r="H94" s="4"/>
      <c r="I94" s="4"/>
    </row>
    <row r="95" spans="1:9">
      <c r="A95" s="4"/>
      <c r="B95" s="5"/>
      <c r="C95" s="4"/>
      <c r="D95" s="4"/>
      <c r="E95" s="4"/>
      <c r="F95" s="4"/>
      <c r="G95" s="4"/>
      <c r="H95" s="4"/>
      <c r="I95" s="4"/>
    </row>
    <row r="96" spans="1:9">
      <c r="A96" s="4"/>
      <c r="B96" s="5"/>
      <c r="C96" s="4"/>
      <c r="D96" s="4"/>
      <c r="E96" s="4"/>
      <c r="F96" s="4"/>
      <c r="G96" s="4"/>
      <c r="H96" s="4"/>
      <c r="I96" s="4"/>
    </row>
    <row r="97" spans="1:9">
      <c r="A97" s="4"/>
      <c r="B97" s="5"/>
      <c r="C97" s="4"/>
      <c r="D97" s="4"/>
      <c r="E97" s="4"/>
      <c r="F97" s="4"/>
      <c r="G97" s="4"/>
      <c r="H97" s="4"/>
      <c r="I97" s="4"/>
    </row>
    <row r="98" spans="1:9">
      <c r="A98" s="4"/>
      <c r="B98" s="5"/>
      <c r="C98" s="4"/>
      <c r="D98" s="4"/>
      <c r="E98" s="4"/>
      <c r="F98" s="4"/>
      <c r="G98" s="4"/>
      <c r="H98" s="4"/>
      <c r="I98" s="4"/>
    </row>
    <row r="99" spans="1:9">
      <c r="A99" s="4"/>
      <c r="B99" s="5"/>
      <c r="C99" s="4"/>
      <c r="D99" s="4"/>
      <c r="E99" s="4"/>
      <c r="F99" s="4"/>
      <c r="G99" s="4"/>
      <c r="H99" s="4"/>
      <c r="I99" s="4"/>
    </row>
    <row r="100" spans="1:9">
      <c r="A100" s="4"/>
      <c r="B100" s="5"/>
      <c r="C100" s="4"/>
      <c r="D100" s="4"/>
      <c r="E100" s="4"/>
      <c r="F100" s="4"/>
      <c r="G100" s="4"/>
      <c r="H100" s="4"/>
      <c r="I100" s="4"/>
    </row>
    <row r="101" spans="1:9">
      <c r="A101" s="4"/>
      <c r="B101" s="5"/>
      <c r="C101" s="4"/>
      <c r="D101" s="4"/>
      <c r="E101" s="4"/>
      <c r="F101" s="4"/>
      <c r="G101" s="4"/>
      <c r="H101" s="4"/>
      <c r="I101" s="4"/>
    </row>
    <row r="102" spans="1:9">
      <c r="A102" s="4"/>
      <c r="B102" s="5"/>
      <c r="C102" s="4"/>
      <c r="D102" s="4"/>
      <c r="E102" s="4"/>
      <c r="F102" s="4"/>
      <c r="G102" s="4"/>
      <c r="H102" s="4"/>
      <c r="I102" s="4"/>
    </row>
    <row r="103" spans="1:9">
      <c r="A103" s="4"/>
      <c r="B103" s="5"/>
      <c r="C103" s="4"/>
      <c r="D103" s="4"/>
      <c r="E103" s="4"/>
      <c r="F103" s="4"/>
      <c r="G103" s="4"/>
      <c r="H103" s="4"/>
      <c r="I103" s="4"/>
    </row>
    <row r="104" spans="1:9">
      <c r="A104" s="4"/>
      <c r="B104" s="5"/>
      <c r="C104" s="4"/>
      <c r="D104" s="4"/>
      <c r="E104" s="4"/>
      <c r="F104" s="4"/>
      <c r="G104" s="4"/>
      <c r="H104" s="4"/>
      <c r="I104" s="4"/>
    </row>
    <row r="105" spans="1:9">
      <c r="A105" s="4"/>
      <c r="B105" s="5"/>
      <c r="C105" s="4"/>
      <c r="D105" s="4"/>
      <c r="E105" s="4"/>
      <c r="F105" s="4"/>
      <c r="G105" s="4"/>
      <c r="H105" s="4"/>
      <c r="I105" s="4"/>
    </row>
    <row r="106" spans="1:9">
      <c r="A106" s="4"/>
      <c r="B106" s="5"/>
      <c r="C106" s="4"/>
      <c r="D106" s="4"/>
      <c r="E106" s="4"/>
      <c r="F106" s="4"/>
      <c r="G106" s="4"/>
      <c r="H106" s="4"/>
      <c r="I106" s="4"/>
    </row>
    <row r="107" spans="1:9">
      <c r="A107" s="4"/>
      <c r="B107" s="5"/>
      <c r="C107" s="4"/>
      <c r="D107" s="4"/>
      <c r="E107" s="4"/>
      <c r="F107" s="4"/>
      <c r="G107" s="4"/>
      <c r="H107" s="4"/>
      <c r="I107" s="4"/>
    </row>
    <row r="108" spans="1:9">
      <c r="A108" s="4"/>
      <c r="B108" s="5"/>
      <c r="C108" s="4"/>
      <c r="D108" s="4"/>
      <c r="E108" s="4"/>
      <c r="F108" s="4"/>
      <c r="G108" s="4"/>
      <c r="H108" s="4"/>
      <c r="I108" s="4"/>
    </row>
    <row r="109" spans="1:9">
      <c r="A109" s="4"/>
      <c r="B109" s="5"/>
      <c r="C109" s="4"/>
      <c r="D109" s="4"/>
      <c r="E109" s="4"/>
      <c r="F109" s="4"/>
      <c r="G109" s="4"/>
      <c r="H109" s="4"/>
      <c r="I109" s="4"/>
    </row>
    <row r="110" spans="1:9">
      <c r="A110" s="4"/>
      <c r="B110" s="5"/>
      <c r="C110" s="4"/>
      <c r="D110" s="4"/>
      <c r="E110" s="4"/>
      <c r="F110" s="4"/>
      <c r="G110" s="4"/>
      <c r="H110" s="4"/>
      <c r="I110" s="4"/>
    </row>
    <row r="111" spans="1:9">
      <c r="A111" s="4"/>
      <c r="B111" s="5"/>
      <c r="C111" s="4"/>
      <c r="D111" s="4"/>
      <c r="E111" s="4"/>
      <c r="F111" s="4"/>
      <c r="G111" s="4"/>
      <c r="H111" s="4"/>
      <c r="I111" s="4"/>
    </row>
    <row r="112" spans="1:9">
      <c r="A112" s="4"/>
      <c r="B112" s="5"/>
      <c r="C112" s="4"/>
      <c r="D112" s="4"/>
      <c r="E112" s="4"/>
      <c r="F112" s="4"/>
      <c r="G112" s="4"/>
      <c r="H112" s="4"/>
      <c r="I112" s="4"/>
    </row>
    <row r="113" spans="1:9">
      <c r="A113" s="4"/>
      <c r="B113" s="5"/>
      <c r="C113" s="4"/>
      <c r="D113" s="4"/>
      <c r="E113" s="4"/>
      <c r="F113" s="4"/>
      <c r="G113" s="4"/>
      <c r="H113" s="4"/>
      <c r="I113" s="4"/>
    </row>
    <row r="114" spans="1:9">
      <c r="A114" s="4"/>
      <c r="B114" s="5"/>
      <c r="C114" s="4"/>
      <c r="D114" s="4"/>
      <c r="E114" s="4"/>
      <c r="F114" s="4"/>
      <c r="G114" s="4"/>
      <c r="H114" s="4"/>
      <c r="I114" s="4"/>
    </row>
    <row r="115" spans="1:9">
      <c r="A115" s="4"/>
      <c r="B115" s="5"/>
      <c r="C115" s="4"/>
      <c r="D115" s="4"/>
      <c r="E115" s="4"/>
      <c r="F115" s="4"/>
      <c r="G115" s="4"/>
      <c r="H115" s="4"/>
      <c r="I115" s="4"/>
    </row>
    <row r="116" spans="1:9">
      <c r="A116" s="4"/>
      <c r="B116" s="5"/>
      <c r="C116" s="4"/>
      <c r="D116" s="4"/>
      <c r="E116" s="4"/>
      <c r="F116" s="4"/>
      <c r="G116" s="4"/>
      <c r="H116" s="4"/>
      <c r="I116" s="4"/>
    </row>
    <row r="117" spans="1:9">
      <c r="A117" s="4"/>
      <c r="B117" s="5"/>
      <c r="C117" s="4"/>
      <c r="D117" s="4"/>
      <c r="E117" s="4"/>
      <c r="F117" s="4"/>
      <c r="G117" s="4"/>
      <c r="H117" s="4"/>
      <c r="I117" s="4"/>
    </row>
    <row r="118" spans="1:9">
      <c r="A118" s="4"/>
      <c r="B118" s="5"/>
      <c r="C118" s="4"/>
      <c r="D118" s="4"/>
      <c r="E118" s="4"/>
      <c r="F118" s="4"/>
      <c r="G118" s="4"/>
      <c r="H118" s="4"/>
      <c r="I118" s="4"/>
    </row>
    <row r="119" spans="1:9">
      <c r="A119" s="4"/>
      <c r="B119" s="5"/>
      <c r="C119" s="4"/>
      <c r="D119" s="4"/>
      <c r="E119" s="4"/>
      <c r="F119" s="4"/>
      <c r="G119" s="4"/>
      <c r="H119" s="4"/>
      <c r="I119" s="4"/>
    </row>
    <row r="120" spans="1:9">
      <c r="A120" s="4"/>
      <c r="B120" s="5"/>
      <c r="C120" s="4"/>
      <c r="D120" s="4"/>
      <c r="E120" s="4"/>
      <c r="F120" s="4"/>
      <c r="G120" s="4"/>
      <c r="H120" s="4"/>
      <c r="I120" s="4"/>
    </row>
    <row r="121" spans="1:9">
      <c r="A121" s="4"/>
      <c r="B121" s="5"/>
      <c r="C121" s="4"/>
      <c r="D121" s="4"/>
      <c r="E121" s="4"/>
      <c r="F121" s="4"/>
      <c r="G121" s="4"/>
      <c r="H121" s="4"/>
      <c r="I121" s="4"/>
    </row>
    <row r="122" spans="1:9">
      <c r="A122" s="4"/>
      <c r="B122" s="5"/>
      <c r="C122" s="4"/>
      <c r="D122" s="4"/>
      <c r="E122" s="4"/>
      <c r="F122" s="4"/>
      <c r="G122" s="4"/>
      <c r="H122" s="4"/>
      <c r="I122" s="4"/>
    </row>
    <row r="123" spans="1:9">
      <c r="A123" s="4"/>
      <c r="B123" s="5"/>
      <c r="C123" s="4"/>
      <c r="D123" s="4"/>
      <c r="E123" s="4"/>
      <c r="F123" s="4"/>
      <c r="G123" s="4"/>
      <c r="H123" s="4"/>
      <c r="I123" s="4"/>
    </row>
    <row r="124" spans="1:9">
      <c r="A124" s="4"/>
      <c r="B124" s="5"/>
      <c r="C124" s="4"/>
      <c r="D124" s="4"/>
      <c r="E124" s="4"/>
      <c r="F124" s="4"/>
      <c r="G124" s="4"/>
      <c r="H124" s="4"/>
      <c r="I124" s="4"/>
    </row>
    <row r="125" spans="1:9">
      <c r="A125" s="4"/>
      <c r="B125" s="5"/>
      <c r="C125" s="4"/>
      <c r="D125" s="4"/>
      <c r="E125" s="4"/>
      <c r="F125" s="4"/>
      <c r="G125" s="4"/>
      <c r="H125" s="4"/>
      <c r="I125" s="4"/>
    </row>
    <row r="126" spans="1:9">
      <c r="A126" s="4"/>
      <c r="B126" s="5"/>
      <c r="C126" s="4"/>
      <c r="D126" s="4"/>
      <c r="E126" s="4"/>
      <c r="F126" s="4"/>
      <c r="G126" s="4"/>
      <c r="H126" s="4"/>
      <c r="I126" s="4"/>
    </row>
    <row r="127" spans="1:9">
      <c r="A127" s="4"/>
      <c r="B127" s="5"/>
      <c r="C127" s="4"/>
      <c r="D127" s="4"/>
      <c r="E127" s="4"/>
      <c r="F127" s="4"/>
      <c r="G127" s="4"/>
      <c r="H127" s="4"/>
      <c r="I127" s="4"/>
    </row>
    <row r="128" spans="1:9">
      <c r="A128" s="4"/>
      <c r="B128" s="5"/>
      <c r="C128" s="4"/>
      <c r="D128" s="4"/>
      <c r="E128" s="4"/>
      <c r="F128" s="4"/>
      <c r="G128" s="4"/>
      <c r="H128" s="4"/>
      <c r="I128" s="4"/>
    </row>
    <row r="129" spans="1:9">
      <c r="A129" s="4"/>
      <c r="B129" s="5"/>
      <c r="C129" s="4"/>
      <c r="D129" s="4"/>
      <c r="E129" s="4"/>
      <c r="F129" s="4"/>
      <c r="G129" s="4"/>
      <c r="H129" s="4"/>
      <c r="I129" s="4"/>
    </row>
    <row r="130" spans="1:9">
      <c r="A130" s="4"/>
      <c r="B130" s="5"/>
      <c r="C130" s="4"/>
      <c r="D130" s="4"/>
      <c r="E130" s="4"/>
      <c r="F130" s="4"/>
      <c r="G130" s="4"/>
      <c r="H130" s="4"/>
      <c r="I130" s="4"/>
    </row>
    <row r="131" spans="1:9">
      <c r="A131" s="4"/>
      <c r="B131" s="5"/>
      <c r="C131" s="4"/>
      <c r="D131" s="4"/>
      <c r="E131" s="4"/>
      <c r="F131" s="4"/>
      <c r="G131" s="4"/>
      <c r="H131" s="4"/>
      <c r="I131" s="4"/>
    </row>
    <row r="132" spans="1:9">
      <c r="A132" s="4"/>
      <c r="B132" s="5"/>
      <c r="C132" s="4"/>
      <c r="D132" s="4"/>
      <c r="E132" s="4"/>
      <c r="F132" s="4"/>
      <c r="G132" s="4"/>
      <c r="H132" s="4"/>
      <c r="I132" s="4"/>
    </row>
    <row r="133" spans="1:9">
      <c r="A133" s="4"/>
      <c r="B133" s="5"/>
      <c r="C133" s="4"/>
      <c r="D133" s="4"/>
      <c r="E133" s="4"/>
      <c r="F133" s="4"/>
      <c r="G133" s="4"/>
      <c r="H133" s="4"/>
      <c r="I133" s="4"/>
    </row>
    <row r="134" spans="1:9">
      <c r="A134" s="4"/>
      <c r="B134" s="5"/>
      <c r="C134" s="4"/>
      <c r="D134" s="4"/>
      <c r="E134" s="4"/>
      <c r="F134" s="4"/>
      <c r="G134" s="4"/>
      <c r="H134" s="4"/>
      <c r="I134" s="4"/>
    </row>
    <row r="135" spans="1:9">
      <c r="A135" s="4"/>
      <c r="B135" s="5"/>
      <c r="C135" s="4"/>
      <c r="D135" s="4"/>
      <c r="E135" s="4"/>
      <c r="F135" s="4"/>
      <c r="G135" s="4"/>
      <c r="H135" s="4"/>
      <c r="I135" s="4"/>
    </row>
    <row r="136" spans="1:9">
      <c r="A136" s="4"/>
      <c r="B136" s="5"/>
      <c r="C136" s="4"/>
      <c r="D136" s="4"/>
      <c r="E136" s="4"/>
      <c r="F136" s="4"/>
      <c r="G136" s="4"/>
      <c r="H136" s="4"/>
      <c r="I136" s="4"/>
    </row>
    <row r="137" spans="1:9">
      <c r="A137" s="4"/>
      <c r="B137" s="5"/>
      <c r="C137" s="4"/>
      <c r="D137" s="4"/>
      <c r="E137" s="4"/>
      <c r="F137" s="4"/>
      <c r="G137" s="4"/>
      <c r="H137" s="4"/>
      <c r="I137" s="4"/>
    </row>
    <row r="138" spans="1:9">
      <c r="A138" s="4"/>
      <c r="B138" s="5"/>
      <c r="C138" s="4"/>
      <c r="D138" s="4"/>
      <c r="E138" s="4"/>
      <c r="F138" s="4"/>
      <c r="G138" s="4"/>
      <c r="H138" s="4"/>
      <c r="I138" s="4"/>
    </row>
    <row r="139" spans="1:9">
      <c r="A139" s="4"/>
      <c r="B139" s="5"/>
      <c r="C139" s="4"/>
      <c r="D139" s="4"/>
      <c r="E139" s="4"/>
      <c r="F139" s="4"/>
      <c r="G139" s="4"/>
      <c r="H139" s="4"/>
      <c r="I139" s="4"/>
    </row>
    <row r="140" spans="1:9">
      <c r="A140" s="4"/>
      <c r="B140" s="5"/>
      <c r="C140" s="4"/>
      <c r="D140" s="4"/>
      <c r="E140" s="4"/>
      <c r="F140" s="4"/>
      <c r="G140" s="4"/>
      <c r="H140" s="4"/>
      <c r="I140" s="4"/>
    </row>
    <row r="141" spans="1:9">
      <c r="A141" s="4"/>
      <c r="B141" s="5"/>
      <c r="C141" s="4"/>
      <c r="D141" s="4"/>
      <c r="E141" s="4"/>
      <c r="F141" s="4"/>
      <c r="G141" s="4"/>
      <c r="H141" s="4"/>
      <c r="I141" s="4"/>
    </row>
    <row r="142" spans="1:9">
      <c r="A142" s="4"/>
      <c r="B142" s="5"/>
      <c r="C142" s="4"/>
      <c r="D142" s="4"/>
      <c r="E142" s="4"/>
      <c r="F142" s="4"/>
      <c r="G142" s="4"/>
      <c r="H142" s="4"/>
      <c r="I142" s="4"/>
    </row>
    <row r="143" spans="1:9">
      <c r="A143" s="4"/>
      <c r="B143" s="5"/>
      <c r="C143" s="4"/>
      <c r="D143" s="4"/>
      <c r="E143" s="4"/>
      <c r="F143" s="4"/>
      <c r="G143" s="4"/>
      <c r="H143" s="4"/>
      <c r="I143" s="4"/>
    </row>
    <row r="144" spans="1:9">
      <c r="A144" s="4"/>
      <c r="B144" s="5"/>
      <c r="C144" s="4"/>
      <c r="D144" s="4"/>
      <c r="E144" s="4"/>
      <c r="F144" s="4"/>
      <c r="G144" s="4"/>
      <c r="H144" s="4"/>
      <c r="I144" s="4"/>
    </row>
    <row r="145" spans="1:9">
      <c r="A145" s="4"/>
      <c r="B145" s="5"/>
      <c r="C145" s="4"/>
      <c r="D145" s="4"/>
      <c r="E145" s="4"/>
      <c r="F145" s="4"/>
      <c r="G145" s="4"/>
      <c r="H145" s="4"/>
      <c r="I145" s="4"/>
    </row>
    <row r="146" spans="1:9">
      <c r="A146" s="4"/>
      <c r="B146" s="5"/>
      <c r="C146" s="4"/>
      <c r="D146" s="4"/>
      <c r="E146" s="4"/>
      <c r="F146" s="4"/>
      <c r="G146" s="4"/>
      <c r="H146" s="4"/>
      <c r="I146" s="4"/>
    </row>
    <row r="147" spans="1:9">
      <c r="A147" s="4"/>
      <c r="B147" s="5"/>
      <c r="C147" s="4"/>
      <c r="D147" s="4"/>
      <c r="E147" s="4"/>
      <c r="F147" s="4"/>
      <c r="G147" s="4"/>
      <c r="H147" s="4"/>
      <c r="I147" s="4"/>
    </row>
    <row r="148" spans="1:9">
      <c r="A148" s="4"/>
      <c r="B148" s="5"/>
      <c r="C148" s="4"/>
      <c r="D148" s="4"/>
      <c r="E148" s="4"/>
      <c r="F148" s="4"/>
      <c r="G148" s="4"/>
      <c r="H148" s="4"/>
      <c r="I148" s="4"/>
    </row>
    <row r="149" spans="1:9">
      <c r="A149" s="4"/>
      <c r="B149" s="5"/>
      <c r="C149" s="4"/>
      <c r="D149" s="4"/>
      <c r="E149" s="4"/>
      <c r="F149" s="4"/>
      <c r="G149" s="4"/>
      <c r="H149" s="4"/>
      <c r="I149" s="4"/>
    </row>
    <row r="150" spans="1:9">
      <c r="A150" s="4"/>
      <c r="B150" s="5"/>
      <c r="C150" s="4"/>
      <c r="D150" s="4"/>
      <c r="E150" s="4"/>
      <c r="F150" s="4"/>
      <c r="G150" s="4"/>
      <c r="H150" s="4"/>
      <c r="I150" s="4"/>
    </row>
    <row r="151" spans="1:9">
      <c r="A151" s="4"/>
      <c r="B151" s="5"/>
      <c r="C151" s="4"/>
      <c r="D151" s="4"/>
      <c r="E151" s="4"/>
      <c r="F151" s="4"/>
      <c r="G151" s="4"/>
      <c r="H151" s="4"/>
      <c r="I151" s="4"/>
    </row>
    <row r="152" spans="1:9">
      <c r="A152" s="4"/>
      <c r="B152" s="5"/>
      <c r="C152" s="4"/>
      <c r="D152" s="4"/>
      <c r="E152" s="4"/>
      <c r="F152" s="4"/>
      <c r="G152" s="4"/>
      <c r="H152" s="4"/>
      <c r="I152" s="4"/>
    </row>
    <row r="153" spans="1:9">
      <c r="A153" s="4"/>
      <c r="B153" s="5"/>
      <c r="C153" s="4"/>
      <c r="D153" s="4"/>
      <c r="E153" s="4"/>
      <c r="F153" s="4"/>
      <c r="G153" s="4"/>
      <c r="H153" s="4"/>
      <c r="I153" s="4"/>
    </row>
    <row r="154" spans="1:9">
      <c r="A154" s="4"/>
      <c r="B154" s="5"/>
      <c r="C154" s="4"/>
      <c r="D154" s="4"/>
      <c r="E154" s="4"/>
      <c r="F154" s="4"/>
      <c r="G154" s="4"/>
      <c r="H154" s="4"/>
      <c r="I154" s="4"/>
    </row>
    <row r="155" spans="1:9">
      <c r="A155" s="4"/>
      <c r="B155" s="5"/>
      <c r="C155" s="4"/>
      <c r="D155" s="4"/>
      <c r="E155" s="4"/>
      <c r="F155" s="4"/>
      <c r="G155" s="4"/>
      <c r="H155" s="4"/>
      <c r="I155" s="4"/>
    </row>
    <row r="156" spans="1:9">
      <c r="A156" s="4"/>
      <c r="B156" s="5"/>
      <c r="C156" s="4"/>
      <c r="D156" s="4"/>
      <c r="E156" s="4"/>
      <c r="F156" s="4"/>
      <c r="G156" s="4"/>
      <c r="H156" s="4"/>
      <c r="I156" s="4"/>
    </row>
    <row r="157" spans="1:9">
      <c r="A157" s="4"/>
      <c r="B157" s="5"/>
      <c r="C157" s="4"/>
      <c r="D157" s="4"/>
      <c r="E157" s="4"/>
      <c r="F157" s="4"/>
      <c r="G157" s="4"/>
      <c r="H157" s="4"/>
      <c r="I157" s="4"/>
    </row>
    <row r="158" spans="1:9">
      <c r="A158" s="4"/>
      <c r="B158" s="5"/>
      <c r="C158" s="4"/>
      <c r="D158" s="4"/>
      <c r="E158" s="4"/>
      <c r="F158" s="4"/>
      <c r="G158" s="4"/>
      <c r="H158" s="4"/>
      <c r="I158" s="4"/>
    </row>
    <row r="159" spans="1:9">
      <c r="A159" s="4"/>
      <c r="B159" s="5"/>
      <c r="C159" s="4"/>
      <c r="D159" s="4"/>
      <c r="E159" s="4"/>
      <c r="F159" s="4"/>
      <c r="G159" s="4"/>
      <c r="H159" s="4"/>
      <c r="I159" s="4"/>
    </row>
    <row r="160" spans="1:9">
      <c r="A160" s="4"/>
      <c r="B160" s="5"/>
      <c r="C160" s="4"/>
      <c r="D160" s="4"/>
      <c r="E160" s="4"/>
      <c r="F160" s="4"/>
      <c r="G160" s="4"/>
      <c r="H160" s="4"/>
      <c r="I160" s="4"/>
    </row>
    <row r="161" spans="1:9">
      <c r="A161" s="4"/>
      <c r="B161" s="5"/>
      <c r="C161" s="4"/>
      <c r="D161" s="4"/>
      <c r="E161" s="4"/>
      <c r="F161" s="4"/>
      <c r="G161" s="4"/>
      <c r="H161" s="4"/>
      <c r="I161" s="4"/>
    </row>
    <row r="162" spans="1:9">
      <c r="A162" s="4"/>
      <c r="B162" s="5"/>
      <c r="C162" s="4"/>
      <c r="D162" s="4"/>
      <c r="E162" s="4"/>
      <c r="F162" s="4"/>
      <c r="G162" s="4"/>
      <c r="H162" s="4"/>
      <c r="I162" s="4"/>
    </row>
    <row r="163" spans="1:9">
      <c r="A163" s="4"/>
      <c r="B163" s="5"/>
      <c r="C163" s="4"/>
      <c r="D163" s="4"/>
      <c r="E163" s="4"/>
      <c r="F163" s="4"/>
      <c r="G163" s="4"/>
      <c r="H163" s="4"/>
      <c r="I163" s="4"/>
    </row>
    <row r="164" spans="1:9">
      <c r="A164" s="4"/>
      <c r="B164" s="5"/>
      <c r="C164" s="4"/>
      <c r="D164" s="4"/>
      <c r="E164" s="4"/>
      <c r="F164" s="4"/>
      <c r="G164" s="4"/>
      <c r="H164" s="4"/>
      <c r="I164" s="4"/>
    </row>
    <row r="165" spans="1:9">
      <c r="A165" s="4"/>
      <c r="B165" s="5"/>
      <c r="C165" s="4"/>
      <c r="D165" s="4"/>
      <c r="E165" s="4"/>
      <c r="F165" s="4"/>
      <c r="G165" s="4"/>
      <c r="H165" s="4"/>
      <c r="I165" s="4"/>
    </row>
    <row r="166" spans="1:9">
      <c r="A166" s="4"/>
      <c r="B166" s="5"/>
      <c r="C166" s="4"/>
      <c r="D166" s="4"/>
      <c r="E166" s="4"/>
      <c r="F166" s="4"/>
      <c r="G166" s="4"/>
      <c r="H166" s="4"/>
      <c r="I166" s="4"/>
    </row>
    <row r="167" spans="1:9">
      <c r="A167" s="4"/>
      <c r="B167" s="5"/>
      <c r="C167" s="4"/>
      <c r="D167" s="4"/>
      <c r="E167" s="4"/>
      <c r="F167" s="4"/>
      <c r="G167" s="4"/>
      <c r="H167" s="4"/>
      <c r="I167" s="4"/>
    </row>
    <row r="168" spans="1:9">
      <c r="A168" s="4"/>
      <c r="B168" s="5"/>
      <c r="C168" s="4"/>
      <c r="D168" s="4"/>
      <c r="E168" s="4"/>
      <c r="F168" s="4"/>
      <c r="G168" s="4"/>
      <c r="H168" s="4"/>
      <c r="I168" s="4"/>
    </row>
    <row r="169" spans="1:9">
      <c r="A169" s="4"/>
      <c r="B169" s="5"/>
      <c r="C169" s="4"/>
      <c r="D169" s="4"/>
      <c r="E169" s="4"/>
      <c r="F169" s="4"/>
      <c r="G169" s="4"/>
      <c r="H169" s="4"/>
      <c r="I169" s="4"/>
    </row>
    <row r="170" spans="1:9">
      <c r="A170" s="4"/>
      <c r="B170" s="5"/>
      <c r="C170" s="4"/>
      <c r="D170" s="4"/>
      <c r="E170" s="4"/>
      <c r="F170" s="4"/>
      <c r="G170" s="4"/>
      <c r="H170" s="4"/>
      <c r="I170" s="4"/>
    </row>
    <row r="171" spans="1:9">
      <c r="A171" s="4"/>
      <c r="B171" s="5"/>
      <c r="C171" s="4"/>
      <c r="D171" s="4"/>
      <c r="E171" s="4"/>
      <c r="F171" s="4"/>
      <c r="G171" s="4"/>
      <c r="H171" s="4"/>
      <c r="I171" s="4"/>
    </row>
    <row r="172" spans="1:9">
      <c r="A172" s="4"/>
      <c r="B172" s="5"/>
      <c r="C172" s="4"/>
      <c r="D172" s="4"/>
      <c r="E172" s="4"/>
      <c r="F172" s="4"/>
      <c r="G172" s="4"/>
      <c r="H172" s="4"/>
      <c r="I172" s="4"/>
    </row>
    <row r="173" spans="1:9">
      <c r="A173" s="4"/>
      <c r="B173" s="5"/>
      <c r="C173" s="4"/>
      <c r="D173" s="4"/>
      <c r="E173" s="4"/>
      <c r="F173" s="4"/>
      <c r="G173" s="4"/>
      <c r="H173" s="4"/>
      <c r="I173" s="4"/>
    </row>
    <row r="174" spans="1:9">
      <c r="A174" s="4"/>
      <c r="B174" s="5"/>
      <c r="C174" s="4"/>
      <c r="D174" s="4"/>
      <c r="E174" s="4"/>
      <c r="F174" s="4"/>
      <c r="G174" s="4"/>
      <c r="H174" s="4"/>
      <c r="I174" s="4"/>
    </row>
    <row r="175" spans="1:9">
      <c r="A175" s="4"/>
      <c r="B175" s="5"/>
      <c r="C175" s="4"/>
      <c r="D175" s="4"/>
      <c r="E175" s="4"/>
      <c r="F175" s="4"/>
      <c r="G175" s="4"/>
      <c r="H175" s="4"/>
      <c r="I175" s="4"/>
    </row>
    <row r="176" spans="1:9">
      <c r="A176" s="4"/>
      <c r="B176" s="5"/>
      <c r="C176" s="4"/>
      <c r="D176" s="4"/>
      <c r="E176" s="4"/>
      <c r="F176" s="4"/>
      <c r="G176" s="4"/>
      <c r="H176" s="4"/>
      <c r="I176" s="4"/>
    </row>
    <row r="177" spans="1:9">
      <c r="A177" s="4"/>
      <c r="B177" s="5"/>
      <c r="C177" s="4"/>
      <c r="D177" s="4"/>
      <c r="E177" s="4"/>
      <c r="F177" s="4"/>
      <c r="G177" s="4"/>
      <c r="H177" s="4"/>
      <c r="I177" s="4"/>
    </row>
    <row r="178" spans="1:9">
      <c r="A178" s="4"/>
      <c r="B178" s="5"/>
      <c r="C178" s="4"/>
      <c r="D178" s="4"/>
      <c r="E178" s="4"/>
      <c r="F178" s="4"/>
      <c r="G178" s="4"/>
      <c r="H178" s="4"/>
      <c r="I178" s="4"/>
    </row>
    <row r="179" spans="1:9">
      <c r="A179" s="4"/>
      <c r="B179" s="5"/>
      <c r="C179" s="4"/>
      <c r="D179" s="4"/>
      <c r="E179" s="4"/>
      <c r="F179" s="4"/>
      <c r="G179" s="4"/>
      <c r="H179" s="4"/>
      <c r="I179" s="4"/>
    </row>
    <row r="180" spans="1:9">
      <c r="A180" s="4"/>
      <c r="B180" s="5"/>
      <c r="C180" s="4"/>
      <c r="D180" s="4"/>
      <c r="E180" s="4"/>
      <c r="F180" s="4"/>
      <c r="G180" s="4"/>
      <c r="H180" s="4"/>
      <c r="I180" s="4"/>
    </row>
    <row r="181" spans="1:9">
      <c r="A181" s="4"/>
      <c r="B181" s="5"/>
      <c r="C181" s="4"/>
      <c r="D181" s="4"/>
      <c r="E181" s="4"/>
      <c r="F181" s="4"/>
      <c r="G181" s="4"/>
      <c r="H181" s="4"/>
      <c r="I181" s="4"/>
    </row>
    <row r="182" spans="1:9">
      <c r="A182" s="4"/>
      <c r="B182" s="5"/>
      <c r="C182" s="4"/>
      <c r="D182" s="4"/>
      <c r="E182" s="4"/>
      <c r="F182" s="4"/>
      <c r="G182" s="4"/>
      <c r="H182" s="4"/>
      <c r="I182" s="4"/>
    </row>
    <row r="183" spans="1:9">
      <c r="A183" s="4"/>
      <c r="B183" s="5"/>
      <c r="C183" s="4"/>
      <c r="D183" s="4"/>
      <c r="E183" s="4"/>
      <c r="F183" s="4"/>
      <c r="G183" s="4"/>
      <c r="H183" s="4"/>
      <c r="I183" s="4"/>
    </row>
    <row r="184" spans="1:9">
      <c r="A184" s="4"/>
      <c r="B184" s="5"/>
      <c r="C184" s="4"/>
      <c r="D184" s="4"/>
      <c r="E184" s="4"/>
      <c r="F184" s="4"/>
      <c r="G184" s="4"/>
      <c r="H184" s="4"/>
      <c r="I184" s="4"/>
    </row>
    <row r="185" spans="1:9">
      <c r="A185" s="4"/>
      <c r="B185" s="5"/>
      <c r="C185" s="4"/>
      <c r="D185" s="4"/>
      <c r="E185" s="4"/>
      <c r="F185" s="4"/>
      <c r="G185" s="4"/>
      <c r="H185" s="4"/>
      <c r="I185" s="4"/>
    </row>
    <row r="186" spans="1:9">
      <c r="A186" s="4"/>
      <c r="B186" s="5"/>
      <c r="C186" s="4"/>
      <c r="D186" s="4"/>
      <c r="E186" s="4"/>
      <c r="F186" s="4"/>
      <c r="G186" s="4"/>
      <c r="H186" s="4"/>
      <c r="I186" s="4"/>
    </row>
    <row r="187" spans="1:9">
      <c r="A187" s="4"/>
      <c r="B187" s="5"/>
      <c r="C187" s="4"/>
      <c r="D187" s="4"/>
      <c r="E187" s="4"/>
      <c r="F187" s="4"/>
      <c r="G187" s="4"/>
      <c r="H187" s="4"/>
      <c r="I187" s="4"/>
    </row>
    <row r="188" spans="1:9">
      <c r="A188" s="4"/>
      <c r="B188" s="5"/>
      <c r="C188" s="4"/>
      <c r="D188" s="4"/>
      <c r="E188" s="4"/>
      <c r="F188" s="4"/>
      <c r="G188" s="4"/>
      <c r="H188" s="4"/>
      <c r="I188" s="4"/>
    </row>
    <row r="189" spans="1:9">
      <c r="A189" s="4"/>
      <c r="B189" s="5"/>
      <c r="C189" s="4"/>
      <c r="D189" s="4"/>
      <c r="E189" s="4"/>
      <c r="F189" s="4"/>
      <c r="G189" s="4"/>
      <c r="H189" s="4"/>
      <c r="I189" s="4"/>
    </row>
    <row r="190" spans="1:9">
      <c r="A190" s="4"/>
      <c r="B190" s="5"/>
      <c r="C190" s="4"/>
      <c r="D190" s="4"/>
      <c r="E190" s="4"/>
      <c r="F190" s="4"/>
      <c r="G190" s="4"/>
      <c r="H190" s="4"/>
      <c r="I190" s="4"/>
    </row>
    <row r="191" spans="1:9">
      <c r="A191" s="4"/>
      <c r="B191" s="5"/>
      <c r="C191" s="4"/>
      <c r="D191" s="4"/>
      <c r="E191" s="4"/>
      <c r="F191" s="4"/>
      <c r="G191" s="4"/>
      <c r="H191" s="4"/>
      <c r="I191" s="4"/>
    </row>
    <row r="192" spans="1:9">
      <c r="A192" s="4"/>
      <c r="B192" s="5"/>
      <c r="C192" s="4"/>
      <c r="D192" s="4"/>
      <c r="E192" s="4"/>
      <c r="F192" s="4"/>
      <c r="G192" s="4"/>
      <c r="H192" s="4"/>
      <c r="I192" s="4"/>
    </row>
    <row r="193" spans="1:9">
      <c r="A193" s="4"/>
      <c r="B193" s="5"/>
      <c r="C193" s="4"/>
      <c r="D193" s="4"/>
      <c r="E193" s="4"/>
      <c r="F193" s="4"/>
      <c r="G193" s="4"/>
      <c r="H193" s="4"/>
      <c r="I193" s="4"/>
    </row>
    <row r="194" spans="1:9">
      <c r="A194" s="4"/>
      <c r="B194" s="5"/>
      <c r="C194" s="4"/>
      <c r="D194" s="4"/>
      <c r="E194" s="4"/>
      <c r="F194" s="4"/>
      <c r="G194" s="4"/>
      <c r="H194" s="4"/>
      <c r="I194" s="4"/>
    </row>
    <row r="195" spans="1:9">
      <c r="A195" s="4"/>
      <c r="B195" s="5"/>
      <c r="C195" s="4"/>
      <c r="D195" s="4"/>
      <c r="E195" s="4"/>
      <c r="F195" s="4"/>
      <c r="G195" s="4"/>
      <c r="H195" s="4"/>
      <c r="I195" s="4"/>
    </row>
    <row r="196" spans="1:9">
      <c r="A196" s="4"/>
      <c r="B196" s="5"/>
      <c r="C196" s="4"/>
      <c r="D196" s="4"/>
      <c r="E196" s="4"/>
      <c r="F196" s="4"/>
      <c r="G196" s="4"/>
      <c r="H196" s="4"/>
      <c r="I196" s="4"/>
    </row>
    <row r="197" spans="1:9">
      <c r="A197" s="4"/>
      <c r="B197" s="5"/>
      <c r="C197" s="4"/>
      <c r="D197" s="4"/>
      <c r="E197" s="4"/>
      <c r="F197" s="4"/>
      <c r="G197" s="4"/>
      <c r="H197" s="4"/>
      <c r="I197" s="4"/>
    </row>
    <row r="198" spans="1:9">
      <c r="A198" s="4"/>
      <c r="B198" s="5"/>
      <c r="C198" s="4"/>
      <c r="D198" s="4"/>
      <c r="E198" s="4"/>
      <c r="F198" s="4"/>
      <c r="G198" s="4"/>
      <c r="H198" s="4"/>
      <c r="I198" s="4"/>
    </row>
    <row r="199" spans="1:9">
      <c r="A199" s="4"/>
      <c r="B199" s="5"/>
      <c r="C199" s="4"/>
      <c r="D199" s="4"/>
      <c r="E199" s="4"/>
      <c r="F199" s="4"/>
      <c r="G199" s="4"/>
      <c r="H199" s="4"/>
      <c r="I199" s="4"/>
    </row>
    <row r="200" spans="1:9">
      <c r="A200" s="4"/>
      <c r="B200" s="5"/>
      <c r="C200" s="4"/>
      <c r="D200" s="4"/>
      <c r="E200" s="4"/>
      <c r="F200" s="4"/>
      <c r="G200" s="4"/>
      <c r="H200" s="4"/>
      <c r="I200" s="4"/>
    </row>
    <row r="201" spans="1:9">
      <c r="A201" s="4"/>
      <c r="B201" s="5"/>
      <c r="C201" s="4"/>
      <c r="D201" s="4"/>
      <c r="E201" s="4"/>
      <c r="F201" s="4"/>
      <c r="G201" s="4"/>
      <c r="H201" s="4"/>
      <c r="I201" s="4"/>
    </row>
    <row r="202" spans="1:9">
      <c r="A202" s="4"/>
      <c r="B202" s="5"/>
      <c r="C202" s="4"/>
      <c r="D202" s="4"/>
      <c r="E202" s="4"/>
      <c r="F202" s="4"/>
      <c r="G202" s="4"/>
      <c r="H202" s="4"/>
      <c r="I202" s="4"/>
    </row>
    <row r="203" spans="1:9">
      <c r="A203" s="4"/>
      <c r="B203" s="5"/>
      <c r="C203" s="4"/>
      <c r="D203" s="4"/>
      <c r="E203" s="4"/>
      <c r="F203" s="4"/>
      <c r="G203" s="4"/>
      <c r="H203" s="4"/>
      <c r="I203" s="4"/>
    </row>
    <row r="204" spans="1:9">
      <c r="A204" s="4"/>
      <c r="B204" s="5"/>
      <c r="C204" s="4"/>
      <c r="D204" s="4"/>
      <c r="E204" s="4"/>
      <c r="F204" s="4"/>
      <c r="G204" s="4"/>
      <c r="H204" s="4"/>
      <c r="I204" s="4"/>
    </row>
    <row r="205" spans="1:9">
      <c r="A205" s="4"/>
      <c r="B205" s="5"/>
      <c r="C205" s="4"/>
      <c r="D205" s="4"/>
      <c r="E205" s="4"/>
      <c r="F205" s="4"/>
      <c r="G205" s="4"/>
      <c r="H205" s="4"/>
      <c r="I205" s="4"/>
    </row>
    <row r="206" spans="1:9">
      <c r="A206" s="4"/>
      <c r="B206" s="5"/>
      <c r="C206" s="4"/>
      <c r="D206" s="4"/>
      <c r="E206" s="4"/>
      <c r="F206" s="4"/>
      <c r="G206" s="4"/>
      <c r="H206" s="4"/>
      <c r="I206" s="4"/>
    </row>
    <row r="207" spans="1:9">
      <c r="A207" s="4"/>
      <c r="B207" s="5"/>
      <c r="C207" s="4"/>
      <c r="D207" s="4"/>
      <c r="E207" s="4"/>
      <c r="F207" s="4"/>
      <c r="G207" s="4"/>
      <c r="H207" s="4"/>
      <c r="I207" s="4"/>
    </row>
    <row r="208" spans="1:9">
      <c r="A208" s="4"/>
      <c r="B208" s="5"/>
      <c r="C208" s="4"/>
      <c r="D208" s="4"/>
      <c r="E208" s="4"/>
      <c r="F208" s="4"/>
      <c r="G208" s="4"/>
      <c r="H208" s="4"/>
      <c r="I208" s="4"/>
    </row>
    <row r="209" spans="1:9">
      <c r="A209" s="4"/>
      <c r="B209" s="5"/>
      <c r="C209" s="4"/>
      <c r="D209" s="4"/>
      <c r="E209" s="4"/>
      <c r="F209" s="4"/>
      <c r="G209" s="4"/>
      <c r="H209" s="4"/>
      <c r="I209" s="4"/>
    </row>
    <row r="210" spans="1:9">
      <c r="A210" s="4"/>
      <c r="B210" s="5"/>
      <c r="C210" s="4"/>
      <c r="D210" s="4"/>
      <c r="E210" s="4"/>
      <c r="F210" s="4"/>
      <c r="G210" s="4"/>
      <c r="H210" s="4"/>
      <c r="I210" s="4"/>
    </row>
    <row r="211" spans="1:9">
      <c r="A211" s="4"/>
      <c r="B211" s="5"/>
      <c r="C211" s="4"/>
      <c r="D211" s="4"/>
      <c r="E211" s="4"/>
      <c r="F211" s="4"/>
      <c r="G211" s="4"/>
      <c r="H211" s="4"/>
      <c r="I211" s="4"/>
    </row>
    <row r="212" spans="1:9">
      <c r="A212" s="4"/>
      <c r="B212" s="5"/>
      <c r="C212" s="4"/>
      <c r="D212" s="4"/>
      <c r="E212" s="4"/>
      <c r="F212" s="4"/>
      <c r="G212" s="4"/>
      <c r="H212" s="4"/>
      <c r="I212" s="4"/>
    </row>
    <row r="213" spans="1:9">
      <c r="A213" s="4"/>
      <c r="B213" s="5"/>
      <c r="C213" s="4"/>
      <c r="D213" s="4"/>
      <c r="E213" s="4"/>
      <c r="F213" s="4"/>
      <c r="G213" s="4"/>
      <c r="H213" s="4"/>
      <c r="I213" s="4"/>
    </row>
    <row r="214" spans="1:9">
      <c r="A214" s="4"/>
      <c r="B214" s="5"/>
      <c r="C214" s="4"/>
      <c r="D214" s="4"/>
      <c r="E214" s="4"/>
      <c r="F214" s="4"/>
      <c r="G214" s="4"/>
      <c r="H214" s="4"/>
      <c r="I214" s="4"/>
    </row>
    <row r="215" spans="1:9">
      <c r="A215" s="4"/>
      <c r="B215" s="5"/>
      <c r="C215" s="4"/>
      <c r="D215" s="4"/>
      <c r="E215" s="4"/>
      <c r="F215" s="4"/>
      <c r="G215" s="4"/>
      <c r="H215" s="4"/>
      <c r="I215" s="4"/>
    </row>
    <row r="216" spans="1:9">
      <c r="A216" s="4"/>
      <c r="B216" s="5"/>
      <c r="C216" s="4"/>
      <c r="D216" s="4"/>
      <c r="E216" s="4"/>
      <c r="F216" s="4"/>
      <c r="G216" s="4"/>
      <c r="H216" s="4"/>
      <c r="I216" s="4"/>
    </row>
    <row r="217" spans="1:9">
      <c r="A217" s="4"/>
      <c r="B217" s="5"/>
      <c r="C217" s="4"/>
      <c r="D217" s="4"/>
      <c r="E217" s="4"/>
      <c r="F217" s="4"/>
      <c r="G217" s="4"/>
      <c r="H217" s="4"/>
      <c r="I217" s="4"/>
    </row>
    <row r="218" spans="1:9">
      <c r="A218" s="4"/>
      <c r="B218" s="5"/>
      <c r="C218" s="4"/>
      <c r="D218" s="4"/>
      <c r="E218" s="4"/>
      <c r="F218" s="4"/>
      <c r="G218" s="4"/>
      <c r="H218" s="4"/>
      <c r="I218" s="4"/>
    </row>
    <row r="219" spans="1:9">
      <c r="A219" s="4"/>
      <c r="B219" s="5"/>
      <c r="C219" s="4"/>
      <c r="D219" s="4"/>
      <c r="E219" s="4"/>
      <c r="F219" s="4"/>
      <c r="G219" s="4"/>
      <c r="H219" s="4"/>
      <c r="I219" s="4"/>
    </row>
    <row r="220" spans="1:9">
      <c r="A220" s="4"/>
      <c r="B220" s="5"/>
      <c r="C220" s="4"/>
      <c r="D220" s="4"/>
      <c r="E220" s="4"/>
      <c r="F220" s="4"/>
      <c r="G220" s="4"/>
      <c r="H220" s="4"/>
      <c r="I220" s="4"/>
    </row>
    <row r="221" spans="1:9">
      <c r="A221" s="4"/>
      <c r="B221" s="5"/>
      <c r="C221" s="4"/>
      <c r="D221" s="4"/>
      <c r="E221" s="4"/>
      <c r="F221" s="4"/>
      <c r="G221" s="4"/>
      <c r="H221" s="4"/>
      <c r="I221" s="4"/>
    </row>
    <row r="222" spans="1:9">
      <c r="A222" s="4"/>
      <c r="B222" s="5"/>
      <c r="C222" s="4"/>
      <c r="D222" s="4"/>
      <c r="E222" s="4"/>
      <c r="F222" s="4"/>
      <c r="G222" s="4"/>
      <c r="H222" s="4"/>
      <c r="I222" s="4"/>
    </row>
    <row r="223" spans="1:9">
      <c r="A223" s="4"/>
      <c r="B223" s="5"/>
      <c r="C223" s="4"/>
      <c r="D223" s="4"/>
      <c r="E223" s="4"/>
      <c r="F223" s="4"/>
      <c r="G223" s="4"/>
      <c r="H223" s="4"/>
      <c r="I223" s="4"/>
    </row>
    <row r="224" spans="1:9">
      <c r="A224" s="4"/>
      <c r="B224" s="5"/>
      <c r="C224" s="4"/>
      <c r="D224" s="4"/>
      <c r="E224" s="4"/>
      <c r="F224" s="4"/>
      <c r="G224" s="4"/>
      <c r="H224" s="4"/>
      <c r="I224" s="4"/>
    </row>
    <row r="225" spans="1:9">
      <c r="A225" s="4"/>
      <c r="B225" s="5"/>
      <c r="C225" s="4"/>
      <c r="D225" s="4"/>
      <c r="E225" s="4"/>
      <c r="F225" s="4"/>
      <c r="G225" s="4"/>
      <c r="H225" s="4"/>
      <c r="I225" s="4"/>
    </row>
    <row r="226" spans="1:9">
      <c r="A226" s="4"/>
      <c r="B226" s="5"/>
      <c r="C226" s="4"/>
      <c r="D226" s="4"/>
      <c r="E226" s="4"/>
      <c r="F226" s="4"/>
      <c r="G226" s="4"/>
      <c r="H226" s="4"/>
      <c r="I226" s="4"/>
    </row>
    <row r="227" spans="1:9">
      <c r="A227" s="4"/>
      <c r="B227" s="5"/>
      <c r="C227" s="4"/>
      <c r="D227" s="4"/>
      <c r="E227" s="4"/>
      <c r="F227" s="4"/>
      <c r="G227" s="4"/>
      <c r="H227" s="4"/>
      <c r="I227" s="4"/>
    </row>
    <row r="228" spans="1:9">
      <c r="A228" s="4"/>
      <c r="B228" s="5"/>
      <c r="C228" s="4"/>
      <c r="D228" s="4"/>
      <c r="E228" s="4"/>
      <c r="F228" s="4"/>
      <c r="G228" s="4"/>
      <c r="H228" s="4"/>
      <c r="I228" s="4"/>
    </row>
    <row r="229" spans="1:9">
      <c r="A229" s="4"/>
      <c r="B229" s="5"/>
      <c r="C229" s="4"/>
      <c r="D229" s="4"/>
      <c r="E229" s="4"/>
      <c r="F229" s="4"/>
      <c r="G229" s="4"/>
      <c r="H229" s="4"/>
      <c r="I229" s="4"/>
    </row>
    <row r="230" spans="1:9">
      <c r="A230" s="4"/>
      <c r="B230" s="5"/>
      <c r="C230" s="4"/>
      <c r="D230" s="4"/>
      <c r="E230" s="4"/>
      <c r="F230" s="4"/>
      <c r="G230" s="4"/>
      <c r="H230" s="4"/>
      <c r="I230" s="4"/>
    </row>
    <row r="231" spans="1:9">
      <c r="A231" s="4"/>
      <c r="B231" s="5"/>
      <c r="C231" s="4"/>
      <c r="D231" s="4"/>
      <c r="E231" s="4"/>
      <c r="F231" s="4"/>
      <c r="G231" s="4"/>
      <c r="H231" s="4"/>
      <c r="I231" s="4"/>
    </row>
    <row r="232" spans="1:9">
      <c r="A232" s="4"/>
      <c r="B232" s="5"/>
      <c r="C232" s="4"/>
      <c r="D232" s="4"/>
      <c r="E232" s="4"/>
      <c r="F232" s="4"/>
      <c r="G232" s="4"/>
      <c r="H232" s="4"/>
      <c r="I232" s="4"/>
    </row>
    <row r="233" spans="1:9">
      <c r="A233" s="4"/>
      <c r="B233" s="5"/>
      <c r="C233" s="4"/>
      <c r="D233" s="4"/>
      <c r="E233" s="4"/>
      <c r="F233" s="4"/>
      <c r="G233" s="4"/>
      <c r="H233" s="4"/>
      <c r="I233" s="4"/>
    </row>
    <row r="234" spans="1:9">
      <c r="A234" s="4"/>
      <c r="B234" s="5"/>
      <c r="C234" s="4"/>
      <c r="D234" s="4"/>
      <c r="E234" s="4"/>
      <c r="F234" s="4"/>
      <c r="G234" s="4"/>
      <c r="H234" s="4"/>
      <c r="I234" s="4"/>
    </row>
    <row r="235" spans="1:9">
      <c r="A235" s="4"/>
      <c r="B235" s="5"/>
      <c r="C235" s="4"/>
      <c r="D235" s="4"/>
      <c r="E235" s="4"/>
      <c r="F235" s="4"/>
      <c r="G235" s="4"/>
      <c r="H235" s="4"/>
      <c r="I235" s="4"/>
    </row>
    <row r="236" spans="1:9">
      <c r="A236" s="4"/>
      <c r="B236" s="5"/>
      <c r="C236" s="4"/>
      <c r="D236" s="4"/>
      <c r="E236" s="4"/>
      <c r="F236" s="4"/>
      <c r="G236" s="4"/>
      <c r="H236" s="4"/>
      <c r="I236" s="4"/>
    </row>
    <row r="237" spans="1:9">
      <c r="A237" s="4"/>
      <c r="B237" s="5"/>
      <c r="C237" s="4"/>
      <c r="D237" s="4"/>
      <c r="E237" s="4"/>
      <c r="F237" s="4"/>
      <c r="G237" s="4"/>
      <c r="H237" s="4"/>
      <c r="I237" s="4"/>
    </row>
    <row r="238" spans="1:9">
      <c r="A238" s="4"/>
      <c r="B238" s="5"/>
      <c r="C238" s="4"/>
      <c r="D238" s="4"/>
      <c r="E238" s="4"/>
      <c r="F238" s="4"/>
      <c r="G238" s="4"/>
      <c r="H238" s="4"/>
      <c r="I238" s="4"/>
    </row>
    <row r="239" spans="1:9">
      <c r="A239" s="4"/>
      <c r="B239" s="5"/>
      <c r="C239" s="4"/>
      <c r="D239" s="4"/>
      <c r="E239" s="4"/>
      <c r="F239" s="4"/>
      <c r="G239" s="4"/>
      <c r="H239" s="4"/>
      <c r="I239" s="4"/>
    </row>
    <row r="240" spans="1:9">
      <c r="A240" s="4"/>
      <c r="B240" s="5"/>
      <c r="C240" s="4"/>
      <c r="D240" s="4"/>
      <c r="E240" s="4"/>
      <c r="F240" s="4"/>
      <c r="G240" s="4"/>
      <c r="H240" s="4"/>
      <c r="I240" s="4"/>
    </row>
    <row r="241" spans="1:9">
      <c r="A241" s="4"/>
      <c r="B241" s="5"/>
      <c r="C241" s="4"/>
      <c r="D241" s="4"/>
      <c r="E241" s="4"/>
      <c r="F241" s="4"/>
      <c r="G241" s="4"/>
      <c r="H241" s="4"/>
      <c r="I241" s="4"/>
    </row>
    <row r="242" spans="1:9">
      <c r="A242" s="4"/>
      <c r="B242" s="5"/>
      <c r="C242" s="4"/>
      <c r="D242" s="4"/>
      <c r="E242" s="4"/>
      <c r="F242" s="4"/>
      <c r="G242" s="4"/>
      <c r="H242" s="4"/>
      <c r="I242" s="4"/>
    </row>
    <row r="243" spans="1:9">
      <c r="A243" s="4"/>
      <c r="B243" s="5"/>
      <c r="C243" s="4"/>
      <c r="D243" s="4"/>
      <c r="E243" s="4"/>
      <c r="F243" s="4"/>
      <c r="G243" s="4"/>
      <c r="H243" s="4"/>
      <c r="I243" s="4"/>
    </row>
    <row r="244" spans="1:9">
      <c r="A244" s="4"/>
      <c r="B244" s="5"/>
      <c r="C244" s="4"/>
      <c r="D244" s="4"/>
      <c r="E244" s="4"/>
      <c r="F244" s="4"/>
      <c r="G244" s="4"/>
      <c r="H244" s="4"/>
      <c r="I244" s="4"/>
    </row>
    <row r="245" spans="1:9">
      <c r="A245" s="4"/>
      <c r="B245" s="5"/>
      <c r="C245" s="4"/>
      <c r="D245" s="4"/>
      <c r="E245" s="4"/>
      <c r="F245" s="4"/>
      <c r="G245" s="4"/>
      <c r="H245" s="4"/>
      <c r="I245" s="4"/>
    </row>
    <row r="246" spans="1:9">
      <c r="A246" s="4"/>
      <c r="B246" s="5"/>
      <c r="C246" s="4"/>
      <c r="D246" s="4"/>
      <c r="E246" s="4"/>
      <c r="F246" s="4"/>
      <c r="G246" s="4"/>
      <c r="H246" s="4"/>
      <c r="I246" s="4"/>
    </row>
    <row r="247" spans="1:9">
      <c r="A247" s="4"/>
      <c r="B247" s="5"/>
      <c r="C247" s="4"/>
      <c r="D247" s="4"/>
      <c r="E247" s="4"/>
      <c r="F247" s="4"/>
      <c r="G247" s="4"/>
      <c r="H247" s="4"/>
      <c r="I247" s="4"/>
    </row>
    <row r="248" spans="1:9">
      <c r="A248" s="4"/>
      <c r="B248" s="5"/>
      <c r="C248" s="4"/>
      <c r="D248" s="4"/>
      <c r="E248" s="4"/>
      <c r="F248" s="4"/>
      <c r="G248" s="4"/>
      <c r="H248" s="4"/>
      <c r="I248" s="4"/>
    </row>
    <row r="249" spans="1:9">
      <c r="A249" s="4"/>
      <c r="B249" s="5"/>
      <c r="C249" s="4"/>
      <c r="D249" s="4"/>
      <c r="E249" s="4"/>
      <c r="F249" s="4"/>
      <c r="G249" s="4"/>
      <c r="H249" s="4"/>
      <c r="I249" s="4"/>
    </row>
    <row r="250" spans="1:9">
      <c r="A250" s="4"/>
      <c r="B250" s="5"/>
      <c r="C250" s="4"/>
      <c r="D250" s="4"/>
      <c r="E250" s="4"/>
      <c r="F250" s="4"/>
      <c r="G250" s="4"/>
      <c r="H250" s="4"/>
      <c r="I250" s="4"/>
    </row>
    <row r="251" spans="1:9">
      <c r="A251" s="4"/>
      <c r="B251" s="5"/>
      <c r="C251" s="4"/>
      <c r="D251" s="4"/>
      <c r="E251" s="4"/>
      <c r="F251" s="4"/>
      <c r="G251" s="4"/>
      <c r="H251" s="4"/>
      <c r="I251" s="4"/>
    </row>
    <row r="252" spans="1:9">
      <c r="A252" s="4"/>
      <c r="B252" s="5"/>
      <c r="C252" s="4"/>
      <c r="D252" s="4"/>
      <c r="E252" s="4"/>
      <c r="F252" s="4"/>
      <c r="G252" s="4"/>
      <c r="H252" s="4"/>
      <c r="I252" s="4"/>
    </row>
    <row r="253" spans="1:9">
      <c r="A253" s="4"/>
      <c r="B253" s="5"/>
      <c r="C253" s="4"/>
      <c r="D253" s="4"/>
      <c r="E253" s="4"/>
      <c r="F253" s="4"/>
      <c r="G253" s="4"/>
      <c r="H253" s="4"/>
      <c r="I253" s="4"/>
    </row>
    <row r="254" spans="1:9">
      <c r="A254" s="4"/>
      <c r="B254" s="5"/>
      <c r="C254" s="4"/>
      <c r="D254" s="4"/>
      <c r="E254" s="4"/>
      <c r="F254" s="4"/>
      <c r="G254" s="4"/>
      <c r="H254" s="4"/>
      <c r="I254" s="4"/>
    </row>
    <row r="255" spans="1:9">
      <c r="A255" s="4"/>
      <c r="B255" s="5"/>
      <c r="C255" s="4"/>
      <c r="D255" s="4"/>
      <c r="E255" s="4"/>
      <c r="F255" s="4"/>
      <c r="G255" s="4"/>
      <c r="H255" s="4"/>
      <c r="I255" s="4"/>
    </row>
    <row r="256" spans="1:9">
      <c r="A256" s="4"/>
      <c r="B256" s="5"/>
      <c r="C256" s="4"/>
      <c r="D256" s="4"/>
      <c r="E256" s="4"/>
      <c r="F256" s="4"/>
      <c r="G256" s="4"/>
      <c r="H256" s="4"/>
      <c r="I256" s="4"/>
    </row>
    <row r="257" spans="1:9">
      <c r="A257" s="4"/>
      <c r="B257" s="5"/>
      <c r="C257" s="4"/>
      <c r="D257" s="4"/>
      <c r="E257" s="4"/>
      <c r="F257" s="4"/>
      <c r="G257" s="4"/>
      <c r="H257" s="4"/>
      <c r="I257" s="4"/>
    </row>
    <row r="258" spans="1:9">
      <c r="A258" s="4"/>
      <c r="B258" s="5"/>
      <c r="C258" s="4"/>
      <c r="D258" s="4"/>
      <c r="E258" s="4"/>
      <c r="F258" s="4"/>
      <c r="G258" s="4"/>
      <c r="H258" s="4"/>
      <c r="I258" s="4"/>
    </row>
    <row r="259" spans="1:9">
      <c r="A259" s="4"/>
      <c r="B259" s="5"/>
      <c r="C259" s="4"/>
      <c r="D259" s="4"/>
      <c r="E259" s="4"/>
      <c r="F259" s="4"/>
      <c r="G259" s="4"/>
      <c r="H259" s="4"/>
      <c r="I259" s="4"/>
    </row>
    <row r="260" spans="1:9">
      <c r="A260" s="4"/>
      <c r="B260" s="5"/>
      <c r="C260" s="4"/>
      <c r="D260" s="4"/>
      <c r="E260" s="4"/>
      <c r="F260" s="4"/>
      <c r="G260" s="4"/>
      <c r="H260" s="4"/>
      <c r="I260" s="4"/>
    </row>
    <row r="261" spans="1:9">
      <c r="A261" s="4"/>
      <c r="B261" s="5"/>
      <c r="C261" s="4"/>
      <c r="D261" s="4"/>
      <c r="E261" s="4"/>
      <c r="F261" s="4"/>
      <c r="G261" s="4"/>
      <c r="H261" s="4"/>
      <c r="I261" s="4"/>
    </row>
    <row r="262" spans="1:9">
      <c r="A262" s="4"/>
      <c r="B262" s="5"/>
      <c r="C262" s="4"/>
      <c r="D262" s="4"/>
      <c r="E262" s="4"/>
      <c r="F262" s="4"/>
      <c r="G262" s="4"/>
      <c r="H262" s="4"/>
      <c r="I262" s="4"/>
    </row>
    <row r="263" spans="1:9">
      <c r="A263" s="4"/>
      <c r="B263" s="5"/>
      <c r="C263" s="4"/>
      <c r="D263" s="4"/>
      <c r="E263" s="4"/>
      <c r="F263" s="4"/>
      <c r="G263" s="4"/>
      <c r="H263" s="4"/>
      <c r="I263" s="4"/>
    </row>
    <row r="264" spans="1:9">
      <c r="A264" s="4"/>
      <c r="B264" s="5"/>
      <c r="C264" s="4"/>
      <c r="D264" s="4"/>
      <c r="E264" s="4"/>
      <c r="F264" s="4"/>
      <c r="G264" s="4"/>
      <c r="H264" s="4"/>
      <c r="I264" s="4"/>
    </row>
    <row r="265" spans="1:9">
      <c r="A265" s="4"/>
      <c r="B265" s="5"/>
      <c r="C265" s="4"/>
      <c r="D265" s="4"/>
      <c r="E265" s="4"/>
      <c r="F265" s="4"/>
      <c r="G265" s="4"/>
      <c r="H265" s="4"/>
      <c r="I265" s="4"/>
    </row>
    <row r="266" spans="1:9">
      <c r="A266" s="4"/>
      <c r="B266" s="5"/>
      <c r="C266" s="4"/>
      <c r="D266" s="4"/>
      <c r="E266" s="4"/>
      <c r="F266" s="4"/>
      <c r="G266" s="4"/>
      <c r="H266" s="4"/>
      <c r="I266" s="4"/>
    </row>
    <row r="267" spans="1:9">
      <c r="A267" s="4"/>
      <c r="B267" s="5"/>
      <c r="C267" s="4"/>
      <c r="D267" s="4"/>
      <c r="E267" s="4"/>
      <c r="F267" s="4"/>
      <c r="G267" s="4"/>
      <c r="H267" s="4"/>
      <c r="I267" s="4"/>
    </row>
    <row r="268" spans="1:9">
      <c r="A268" s="4"/>
      <c r="B268" s="5"/>
      <c r="C268" s="4"/>
      <c r="D268" s="4"/>
      <c r="E268" s="4"/>
      <c r="F268" s="4"/>
      <c r="G268" s="4"/>
      <c r="H268" s="4"/>
      <c r="I268" s="4"/>
    </row>
    <row r="269" spans="1:9">
      <c r="A269" s="4"/>
      <c r="B269" s="5"/>
      <c r="C269" s="4"/>
      <c r="D269" s="4"/>
      <c r="E269" s="4"/>
      <c r="F269" s="4"/>
      <c r="G269" s="4"/>
      <c r="H269" s="4"/>
      <c r="I269" s="4"/>
    </row>
    <row r="270" spans="1:9">
      <c r="A270" s="4"/>
      <c r="B270" s="5"/>
      <c r="C270" s="4"/>
      <c r="D270" s="4"/>
      <c r="E270" s="4"/>
      <c r="F270" s="4"/>
      <c r="G270" s="4"/>
      <c r="H270" s="4"/>
      <c r="I270" s="4"/>
    </row>
    <row r="271" spans="1:9">
      <c r="A271" s="4"/>
      <c r="B271" s="5"/>
      <c r="C271" s="4"/>
      <c r="D271" s="4"/>
      <c r="E271" s="4"/>
      <c r="F271" s="4"/>
      <c r="G271" s="4"/>
      <c r="H271" s="4"/>
      <c r="I271" s="4"/>
    </row>
    <row r="272" spans="1:9">
      <c r="A272" s="4"/>
      <c r="B272" s="5"/>
      <c r="C272" s="4"/>
      <c r="D272" s="4"/>
      <c r="E272" s="4"/>
      <c r="F272" s="4"/>
      <c r="G272" s="4"/>
      <c r="H272" s="4"/>
      <c r="I272" s="4"/>
    </row>
    <row r="273" spans="1:9">
      <c r="A273" s="4"/>
      <c r="B273" s="5"/>
      <c r="C273" s="4"/>
      <c r="D273" s="4"/>
      <c r="E273" s="4"/>
      <c r="F273" s="4"/>
      <c r="G273" s="4"/>
      <c r="H273" s="4"/>
      <c r="I273" s="4"/>
    </row>
    <row r="274" spans="1:9">
      <c r="A274" s="4"/>
      <c r="B274" s="5"/>
      <c r="C274" s="4"/>
      <c r="D274" s="4"/>
      <c r="E274" s="4"/>
      <c r="F274" s="4"/>
      <c r="G274" s="4"/>
      <c r="H274" s="4"/>
      <c r="I274" s="4"/>
    </row>
    <row r="275" spans="1:9">
      <c r="A275" s="4"/>
      <c r="B275" s="5"/>
      <c r="C275" s="4"/>
      <c r="D275" s="4"/>
      <c r="E275" s="4"/>
      <c r="F275" s="4"/>
      <c r="G275" s="4"/>
      <c r="H275" s="4"/>
      <c r="I275" s="4"/>
    </row>
    <row r="276" spans="1:9">
      <c r="A276" s="4"/>
      <c r="B276" s="5"/>
      <c r="C276" s="4"/>
      <c r="D276" s="4"/>
      <c r="E276" s="4"/>
      <c r="F276" s="4"/>
      <c r="G276" s="4"/>
      <c r="H276" s="4"/>
      <c r="I276" s="4"/>
    </row>
    <row r="277" spans="1:9">
      <c r="A277" s="4"/>
      <c r="B277" s="5"/>
      <c r="C277" s="4"/>
      <c r="D277" s="4"/>
      <c r="E277" s="4"/>
      <c r="F277" s="4"/>
      <c r="G277" s="4"/>
      <c r="H277" s="4"/>
      <c r="I277" s="4"/>
    </row>
    <row r="278" spans="1:9">
      <c r="A278" s="4"/>
      <c r="B278" s="5"/>
      <c r="C278" s="4"/>
      <c r="D278" s="4"/>
      <c r="E278" s="4"/>
      <c r="F278" s="4"/>
      <c r="G278" s="4"/>
      <c r="H278" s="4"/>
      <c r="I278" s="4"/>
    </row>
    <row r="279" spans="1:9">
      <c r="A279" s="4"/>
      <c r="B279" s="5"/>
      <c r="C279" s="4"/>
      <c r="D279" s="4"/>
      <c r="E279" s="4"/>
      <c r="F279" s="4"/>
      <c r="G279" s="4"/>
      <c r="H279" s="4"/>
      <c r="I279" s="4"/>
    </row>
    <row r="280" spans="1:9">
      <c r="A280" s="4"/>
      <c r="B280" s="5"/>
      <c r="C280" s="4"/>
      <c r="D280" s="4"/>
      <c r="E280" s="4"/>
      <c r="F280" s="4"/>
      <c r="G280" s="4"/>
      <c r="H280" s="4"/>
      <c r="I280" s="4"/>
    </row>
    <row r="281" spans="1:9">
      <c r="A281" s="4"/>
      <c r="B281" s="5"/>
      <c r="C281" s="4"/>
      <c r="D281" s="4"/>
      <c r="E281" s="4"/>
      <c r="F281" s="4"/>
      <c r="G281" s="4"/>
      <c r="H281" s="4"/>
      <c r="I281" s="4"/>
    </row>
    <row r="282" spans="1:9">
      <c r="A282" s="4"/>
      <c r="B282" s="5"/>
      <c r="C282" s="4"/>
      <c r="D282" s="4"/>
      <c r="E282" s="4"/>
      <c r="F282" s="4"/>
      <c r="G282" s="4"/>
      <c r="H282" s="4"/>
      <c r="I282" s="4"/>
    </row>
    <row r="283" spans="1:9">
      <c r="A283" s="4"/>
      <c r="B283" s="5"/>
      <c r="C283" s="4"/>
      <c r="D283" s="4"/>
      <c r="E283" s="4"/>
      <c r="F283" s="4"/>
      <c r="G283" s="4"/>
      <c r="H283" s="4"/>
      <c r="I283" s="4"/>
    </row>
    <row r="284" spans="1:9">
      <c r="A284" s="4"/>
      <c r="B284" s="5"/>
      <c r="C284" s="4"/>
      <c r="D284" s="4"/>
      <c r="E284" s="4"/>
      <c r="F284" s="4"/>
      <c r="G284" s="4"/>
      <c r="H284" s="4"/>
      <c r="I284" s="4"/>
    </row>
    <row r="285" spans="1:9">
      <c r="A285" s="4"/>
      <c r="B285" s="5"/>
      <c r="C285" s="4"/>
      <c r="D285" s="4"/>
      <c r="E285" s="4"/>
      <c r="F285" s="4"/>
      <c r="G285" s="4"/>
      <c r="H285" s="4"/>
      <c r="I285" s="4"/>
    </row>
    <row r="286" spans="1:9">
      <c r="A286" s="4"/>
      <c r="B286" s="5"/>
      <c r="C286" s="4"/>
      <c r="D286" s="4"/>
      <c r="E286" s="4"/>
      <c r="F286" s="4"/>
      <c r="G286" s="4"/>
      <c r="H286" s="4"/>
      <c r="I286" s="4"/>
    </row>
    <row r="287" spans="1:9">
      <c r="A287" s="4"/>
      <c r="B287" s="5"/>
      <c r="C287" s="4"/>
      <c r="D287" s="4"/>
      <c r="E287" s="4"/>
      <c r="F287" s="4"/>
      <c r="G287" s="4"/>
      <c r="H287" s="4"/>
      <c r="I287" s="4"/>
    </row>
    <row r="288" spans="1:9">
      <c r="A288" s="4"/>
      <c r="B288" s="5"/>
      <c r="C288" s="4"/>
      <c r="D288" s="4"/>
      <c r="E288" s="4"/>
      <c r="F288" s="4"/>
      <c r="G288" s="4"/>
      <c r="H288" s="4"/>
      <c r="I288" s="4"/>
    </row>
    <row r="289" spans="1:9">
      <c r="A289" s="4"/>
      <c r="B289" s="5"/>
      <c r="C289" s="4"/>
      <c r="D289" s="4"/>
      <c r="E289" s="4"/>
      <c r="F289" s="4"/>
      <c r="G289" s="4"/>
      <c r="H289" s="4"/>
      <c r="I289" s="4"/>
    </row>
    <row r="290" spans="1:9">
      <c r="A290" s="4"/>
      <c r="B290" s="5"/>
      <c r="C290" s="4"/>
      <c r="D290" s="4"/>
      <c r="E290" s="4"/>
      <c r="F290" s="4"/>
      <c r="G290" s="4"/>
      <c r="H290" s="4"/>
      <c r="I290" s="4"/>
    </row>
    <row r="291" spans="1:9">
      <c r="A291" s="4"/>
      <c r="B291" s="5"/>
      <c r="C291" s="4"/>
      <c r="D291" s="4"/>
      <c r="E291" s="4"/>
      <c r="F291" s="4"/>
      <c r="G291" s="4"/>
      <c r="H291" s="4"/>
      <c r="I291" s="4"/>
    </row>
    <row r="292" spans="1:9">
      <c r="A292" s="4"/>
      <c r="B292" s="5"/>
      <c r="C292" s="4"/>
      <c r="D292" s="4"/>
      <c r="E292" s="4"/>
      <c r="F292" s="4"/>
      <c r="G292" s="4"/>
      <c r="H292" s="4"/>
      <c r="I292" s="4"/>
    </row>
    <row r="293" spans="1:9">
      <c r="A293" s="4"/>
      <c r="B293" s="5"/>
      <c r="C293" s="4"/>
      <c r="D293" s="4"/>
      <c r="E293" s="4"/>
      <c r="F293" s="4"/>
      <c r="G293" s="4"/>
      <c r="H293" s="4"/>
      <c r="I293" s="4"/>
    </row>
    <row r="294" spans="1:9">
      <c r="A294" s="4"/>
      <c r="B294" s="5"/>
      <c r="C294" s="4"/>
      <c r="D294" s="4"/>
      <c r="E294" s="4"/>
      <c r="F294" s="4"/>
      <c r="G294" s="4"/>
      <c r="H294" s="4"/>
      <c r="I294" s="4"/>
    </row>
    <row r="295" spans="1:9">
      <c r="A295" s="4"/>
      <c r="B295" s="5"/>
      <c r="C295" s="4"/>
      <c r="D295" s="4"/>
      <c r="E295" s="4"/>
      <c r="F295" s="4"/>
      <c r="G295" s="4"/>
      <c r="H295" s="4"/>
      <c r="I295" s="4"/>
    </row>
    <row r="296" spans="1:9">
      <c r="A296" s="4"/>
      <c r="B296" s="5"/>
      <c r="C296" s="4"/>
      <c r="D296" s="4"/>
      <c r="E296" s="4"/>
      <c r="F296" s="4"/>
      <c r="G296" s="4"/>
      <c r="H296" s="4"/>
      <c r="I296" s="4"/>
    </row>
    <row r="297" spans="1:9">
      <c r="A297" s="4"/>
      <c r="B297" s="5"/>
      <c r="C297" s="4"/>
      <c r="D297" s="4"/>
      <c r="E297" s="4"/>
      <c r="F297" s="4"/>
      <c r="G297" s="4"/>
      <c r="H297" s="4"/>
      <c r="I297" s="4"/>
    </row>
    <row r="298" spans="1:9">
      <c r="A298" s="4"/>
      <c r="B298" s="5"/>
      <c r="C298" s="4"/>
      <c r="D298" s="4"/>
      <c r="E298" s="4"/>
      <c r="F298" s="4"/>
      <c r="G298" s="4"/>
      <c r="H298" s="4"/>
      <c r="I298" s="4"/>
    </row>
    <row r="299" spans="1:9">
      <c r="A299" s="4"/>
      <c r="B299" s="5"/>
      <c r="C299" s="4"/>
      <c r="D299" s="4"/>
      <c r="E299" s="4"/>
      <c r="F299" s="4"/>
      <c r="G299" s="4"/>
      <c r="H299" s="4"/>
      <c r="I299" s="4"/>
    </row>
    <row r="300" spans="1:9">
      <c r="A300" s="4"/>
      <c r="B300" s="5"/>
      <c r="C300" s="4"/>
      <c r="D300" s="4"/>
      <c r="E300" s="4"/>
      <c r="F300" s="4"/>
      <c r="G300" s="4"/>
      <c r="H300" s="4"/>
      <c r="I300" s="4"/>
    </row>
    <row r="301" spans="1:9">
      <c r="A301" s="4"/>
      <c r="B301" s="5"/>
      <c r="C301" s="4"/>
      <c r="D301" s="4"/>
      <c r="E301" s="4"/>
      <c r="F301" s="4"/>
      <c r="G301" s="4"/>
      <c r="H301" s="4"/>
      <c r="I301" s="4"/>
    </row>
    <row r="302" spans="1:9">
      <c r="A302" s="4"/>
      <c r="B302" s="5"/>
      <c r="C302" s="4"/>
      <c r="D302" s="4"/>
      <c r="E302" s="4"/>
      <c r="F302" s="4"/>
      <c r="G302" s="4"/>
      <c r="H302" s="4"/>
      <c r="I302" s="4"/>
    </row>
    <row r="303" spans="1:9">
      <c r="A303" s="4"/>
      <c r="B303" s="5"/>
      <c r="C303" s="4"/>
      <c r="D303" s="4"/>
      <c r="E303" s="4"/>
      <c r="F303" s="4"/>
      <c r="G303" s="4"/>
      <c r="H303" s="4"/>
      <c r="I303" s="4"/>
    </row>
    <row r="304" spans="1:9">
      <c r="A304" s="4"/>
      <c r="B304" s="5"/>
      <c r="C304" s="4"/>
      <c r="D304" s="4"/>
      <c r="E304" s="4"/>
      <c r="F304" s="4"/>
      <c r="G304" s="4"/>
      <c r="H304" s="4"/>
      <c r="I304" s="4"/>
    </row>
    <row r="305" spans="1:9">
      <c r="A305" s="4"/>
      <c r="B305" s="5"/>
      <c r="C305" s="4"/>
      <c r="D305" s="4"/>
      <c r="E305" s="4"/>
      <c r="F305" s="4"/>
      <c r="G305" s="4"/>
      <c r="H305" s="4"/>
      <c r="I305" s="4"/>
    </row>
    <row r="306" spans="1:9">
      <c r="A306" s="4"/>
      <c r="B306" s="5"/>
      <c r="C306" s="4"/>
      <c r="D306" s="4"/>
      <c r="E306" s="4"/>
      <c r="F306" s="4"/>
      <c r="G306" s="4"/>
      <c r="H306" s="4"/>
      <c r="I306" s="4"/>
    </row>
    <row r="307" spans="1:9">
      <c r="A307" s="4"/>
      <c r="B307" s="5"/>
      <c r="C307" s="4"/>
      <c r="D307" s="4"/>
      <c r="E307" s="4"/>
      <c r="F307" s="4"/>
      <c r="G307" s="4"/>
      <c r="H307" s="4"/>
      <c r="I307" s="4"/>
    </row>
    <row r="308" spans="1:9">
      <c r="A308" s="4"/>
      <c r="B308" s="5"/>
      <c r="C308" s="4"/>
      <c r="D308" s="4"/>
      <c r="E308" s="4"/>
      <c r="F308" s="4"/>
      <c r="G308" s="4"/>
      <c r="H308" s="4"/>
      <c r="I308" s="4"/>
    </row>
    <row r="309" spans="1:9">
      <c r="A309" s="4"/>
      <c r="B309" s="5"/>
      <c r="C309" s="4"/>
      <c r="D309" s="4"/>
      <c r="E309" s="4"/>
      <c r="F309" s="4"/>
      <c r="G309" s="4"/>
      <c r="H309" s="4"/>
      <c r="I309" s="4"/>
    </row>
    <row r="310" spans="1:9">
      <c r="A310" s="4"/>
      <c r="B310" s="5"/>
      <c r="C310" s="4"/>
      <c r="D310" s="4"/>
      <c r="E310" s="4"/>
      <c r="F310" s="4"/>
      <c r="G310" s="4"/>
      <c r="H310" s="4"/>
      <c r="I310" s="4"/>
    </row>
    <row r="311" spans="1:9">
      <c r="A311" s="4"/>
      <c r="B311" s="5"/>
      <c r="C311" s="4"/>
      <c r="D311" s="4"/>
      <c r="E311" s="4"/>
      <c r="F311" s="4"/>
      <c r="G311" s="4"/>
      <c r="H311" s="4"/>
      <c r="I311" s="4"/>
    </row>
    <row r="312" spans="1:9">
      <c r="A312" s="4"/>
      <c r="B312" s="5"/>
      <c r="C312" s="4"/>
      <c r="D312" s="4"/>
      <c r="E312" s="4"/>
      <c r="F312" s="4"/>
      <c r="G312" s="4"/>
      <c r="H312" s="4"/>
      <c r="I312" s="4"/>
    </row>
    <row r="313" spans="1:9">
      <c r="A313" s="4"/>
      <c r="B313" s="5"/>
      <c r="C313" s="4"/>
      <c r="D313" s="4"/>
      <c r="E313" s="4"/>
      <c r="F313" s="4"/>
      <c r="G313" s="4"/>
      <c r="H313" s="4"/>
      <c r="I313" s="4"/>
    </row>
    <row r="314" spans="1:9">
      <c r="A314" s="4"/>
      <c r="B314" s="5"/>
      <c r="C314" s="4"/>
      <c r="D314" s="4"/>
      <c r="E314" s="4"/>
      <c r="F314" s="4"/>
      <c r="G314" s="4"/>
      <c r="H314" s="4"/>
      <c r="I314" s="4"/>
    </row>
    <row r="315" spans="1:9">
      <c r="A315" s="4"/>
      <c r="B315" s="5"/>
      <c r="C315" s="4"/>
      <c r="D315" s="4"/>
      <c r="E315" s="4"/>
      <c r="F315" s="4"/>
      <c r="G315" s="4"/>
      <c r="H315" s="4"/>
      <c r="I315" s="4"/>
    </row>
    <row r="316" spans="1:9">
      <c r="A316" s="4"/>
      <c r="B316" s="5"/>
      <c r="C316" s="4"/>
      <c r="D316" s="4"/>
      <c r="E316" s="4"/>
      <c r="F316" s="4"/>
      <c r="G316" s="4"/>
      <c r="H316" s="4"/>
      <c r="I316" s="4"/>
    </row>
    <row r="317" spans="1:9">
      <c r="A317" s="4"/>
      <c r="B317" s="5"/>
      <c r="C317" s="4"/>
      <c r="D317" s="4"/>
      <c r="E317" s="4"/>
      <c r="F317" s="4"/>
      <c r="G317" s="4"/>
      <c r="H317" s="4"/>
      <c r="I317" s="4"/>
    </row>
    <row r="318" spans="1:9">
      <c r="A318" s="4"/>
      <c r="B318" s="5"/>
      <c r="C318" s="4"/>
      <c r="D318" s="4"/>
      <c r="E318" s="4"/>
      <c r="F318" s="4"/>
      <c r="G318" s="4"/>
      <c r="H318" s="4"/>
      <c r="I318" s="4"/>
    </row>
    <row r="319" spans="1:9">
      <c r="A319" s="4"/>
      <c r="B319" s="5"/>
      <c r="C319" s="4"/>
      <c r="D319" s="4"/>
      <c r="E319" s="4"/>
      <c r="F319" s="4"/>
      <c r="G319" s="4"/>
      <c r="H319" s="4"/>
      <c r="I319" s="4"/>
    </row>
    <row r="320" spans="1:9">
      <c r="A320" s="4"/>
      <c r="B320" s="5"/>
      <c r="C320" s="4"/>
      <c r="D320" s="4"/>
      <c r="E320" s="4"/>
      <c r="F320" s="4"/>
      <c r="G320" s="4"/>
      <c r="H320" s="4"/>
      <c r="I320" s="4"/>
    </row>
    <row r="321" spans="1:9">
      <c r="A321" s="4"/>
      <c r="B321" s="5"/>
      <c r="C321" s="4"/>
      <c r="D321" s="4"/>
      <c r="E321" s="4"/>
      <c r="F321" s="4"/>
      <c r="G321" s="4"/>
      <c r="H321" s="4"/>
      <c r="I321" s="4"/>
    </row>
    <row r="322" spans="1:9">
      <c r="A322" s="4"/>
      <c r="B322" s="5"/>
      <c r="C322" s="4"/>
      <c r="D322" s="4"/>
      <c r="E322" s="4"/>
      <c r="F322" s="4"/>
      <c r="G322" s="4"/>
      <c r="H322" s="4"/>
      <c r="I322" s="4"/>
    </row>
    <row r="323" spans="1:9">
      <c r="A323" s="4"/>
      <c r="B323" s="5"/>
      <c r="C323" s="4"/>
      <c r="D323" s="4"/>
      <c r="E323" s="4"/>
      <c r="F323" s="4"/>
      <c r="G323" s="4"/>
      <c r="H323" s="4"/>
      <c r="I323" s="4"/>
    </row>
    <row r="324" spans="1:9">
      <c r="A324" s="4"/>
      <c r="B324" s="5"/>
      <c r="C324" s="4"/>
      <c r="D324" s="4"/>
      <c r="E324" s="4"/>
      <c r="F324" s="4"/>
      <c r="G324" s="4"/>
      <c r="H324" s="4"/>
      <c r="I324" s="4"/>
    </row>
    <row r="325" spans="1:9">
      <c r="A325" s="4"/>
      <c r="B325" s="5"/>
      <c r="C325" s="4"/>
      <c r="D325" s="4"/>
      <c r="E325" s="4"/>
      <c r="F325" s="4"/>
      <c r="G325" s="4"/>
      <c r="H325" s="4"/>
      <c r="I325" s="4"/>
    </row>
    <row r="326" spans="1:9">
      <c r="A326" s="4"/>
      <c r="B326" s="5"/>
      <c r="C326" s="4"/>
      <c r="D326" s="4"/>
      <c r="E326" s="4"/>
      <c r="F326" s="4"/>
      <c r="G326" s="4"/>
      <c r="H326" s="4"/>
      <c r="I326" s="4"/>
    </row>
    <row r="327" spans="1:9">
      <c r="A327" s="4"/>
      <c r="B327" s="5"/>
      <c r="C327" s="4"/>
      <c r="D327" s="4"/>
      <c r="E327" s="4"/>
      <c r="F327" s="4"/>
      <c r="G327" s="4"/>
      <c r="H327" s="4"/>
      <c r="I327" s="4"/>
    </row>
    <row r="328" spans="1:9">
      <c r="A328" s="4"/>
      <c r="B328" s="5"/>
      <c r="C328" s="4"/>
      <c r="D328" s="4"/>
      <c r="E328" s="4"/>
      <c r="F328" s="4"/>
      <c r="G328" s="4"/>
      <c r="H328" s="4"/>
      <c r="I328" s="4"/>
    </row>
    <row r="329" spans="1:9">
      <c r="A329" s="4"/>
      <c r="B329" s="5"/>
      <c r="C329" s="4"/>
      <c r="D329" s="4"/>
      <c r="E329" s="4"/>
      <c r="F329" s="4"/>
      <c r="G329" s="4"/>
      <c r="H329" s="4"/>
      <c r="I329" s="4"/>
    </row>
    <row r="330" spans="1:9">
      <c r="A330" s="4"/>
      <c r="B330" s="5"/>
      <c r="C330" s="4"/>
      <c r="D330" s="4"/>
      <c r="E330" s="4"/>
      <c r="F330" s="4"/>
      <c r="G330" s="4"/>
      <c r="H330" s="4"/>
      <c r="I330" s="4"/>
    </row>
    <row r="331" spans="1:9">
      <c r="A331" s="4"/>
      <c r="B331" s="5"/>
      <c r="C331" s="4"/>
      <c r="D331" s="4"/>
      <c r="E331" s="4"/>
      <c r="F331" s="4"/>
      <c r="G331" s="4"/>
      <c r="H331" s="4"/>
      <c r="I331" s="4"/>
    </row>
    <row r="332" spans="1:9">
      <c r="A332" s="4"/>
      <c r="B332" s="5"/>
      <c r="C332" s="4"/>
      <c r="D332" s="4"/>
      <c r="E332" s="4"/>
      <c r="F332" s="4"/>
      <c r="G332" s="4"/>
      <c r="H332" s="4"/>
      <c r="I332" s="4"/>
    </row>
    <row r="333" spans="1:9">
      <c r="A333" s="4"/>
      <c r="B333" s="5"/>
      <c r="C333" s="4"/>
      <c r="D333" s="4"/>
      <c r="E333" s="4"/>
      <c r="F333" s="4"/>
      <c r="G333" s="4"/>
      <c r="H333" s="4"/>
      <c r="I333" s="4"/>
    </row>
    <row r="334" spans="1:9">
      <c r="A334" s="4"/>
      <c r="B334" s="5"/>
      <c r="C334" s="4"/>
      <c r="D334" s="4"/>
      <c r="E334" s="4"/>
      <c r="F334" s="4"/>
      <c r="G334" s="4"/>
      <c r="H334" s="4"/>
      <c r="I334" s="4"/>
    </row>
    <row r="335" spans="1:9">
      <c r="A335" s="4"/>
      <c r="B335" s="5"/>
      <c r="C335" s="4"/>
      <c r="D335" s="4"/>
      <c r="E335" s="4"/>
      <c r="F335" s="4"/>
      <c r="G335" s="4"/>
      <c r="H335" s="4"/>
      <c r="I335" s="4"/>
    </row>
    <row r="336" spans="1:9">
      <c r="A336" s="4"/>
      <c r="B336" s="5"/>
      <c r="C336" s="4"/>
      <c r="D336" s="4"/>
      <c r="E336" s="4"/>
      <c r="F336" s="4"/>
      <c r="G336" s="4"/>
      <c r="H336" s="4"/>
      <c r="I336" s="4"/>
    </row>
    <row r="337" spans="1:9">
      <c r="A337" s="4"/>
      <c r="B337" s="5"/>
      <c r="C337" s="4"/>
      <c r="D337" s="4"/>
      <c r="E337" s="4"/>
      <c r="F337" s="4"/>
      <c r="G337" s="4"/>
      <c r="H337" s="4"/>
      <c r="I337" s="4"/>
    </row>
    <row r="338" spans="1:9">
      <c r="A338" s="4"/>
      <c r="B338" s="5"/>
      <c r="C338" s="4"/>
      <c r="D338" s="4"/>
      <c r="E338" s="4"/>
      <c r="F338" s="4"/>
      <c r="G338" s="4"/>
      <c r="H338" s="4"/>
      <c r="I338" s="4"/>
    </row>
    <row r="339" spans="1:9">
      <c r="A339" s="4"/>
      <c r="B339" s="5"/>
      <c r="C339" s="4"/>
      <c r="D339" s="4"/>
      <c r="E339" s="4"/>
      <c r="F339" s="4"/>
      <c r="G339" s="4"/>
      <c r="H339" s="4"/>
      <c r="I339" s="4"/>
    </row>
    <row r="340" spans="1:9">
      <c r="A340" s="4"/>
      <c r="B340" s="5"/>
      <c r="C340" s="4"/>
      <c r="D340" s="4"/>
      <c r="E340" s="4"/>
      <c r="F340" s="4"/>
      <c r="G340" s="4"/>
      <c r="H340" s="4"/>
      <c r="I340" s="4"/>
    </row>
    <row r="341" spans="1:9">
      <c r="A341" s="4"/>
      <c r="B341" s="5"/>
      <c r="C341" s="4"/>
      <c r="D341" s="4"/>
      <c r="E341" s="4"/>
      <c r="F341" s="4"/>
      <c r="G341" s="4"/>
      <c r="H341" s="4"/>
      <c r="I341" s="4"/>
    </row>
    <row r="342" spans="1:9">
      <c r="A342" s="4"/>
      <c r="B342" s="5"/>
      <c r="C342" s="4"/>
      <c r="D342" s="4"/>
      <c r="E342" s="4"/>
      <c r="F342" s="4"/>
      <c r="G342" s="4"/>
      <c r="H342" s="4"/>
      <c r="I342" s="4"/>
    </row>
    <row r="343" spans="1:9">
      <c r="A343" s="4"/>
      <c r="B343" s="5"/>
      <c r="C343" s="4"/>
      <c r="D343" s="4"/>
      <c r="E343" s="4"/>
      <c r="F343" s="4"/>
      <c r="G343" s="4"/>
      <c r="H343" s="4"/>
      <c r="I343" s="4"/>
    </row>
    <row r="344" spans="1:9">
      <c r="A344" s="4"/>
      <c r="B344" s="5"/>
      <c r="C344" s="4"/>
      <c r="D344" s="4"/>
      <c r="E344" s="4"/>
      <c r="F344" s="4"/>
      <c r="G344" s="4"/>
      <c r="H344" s="4"/>
      <c r="I344" s="4"/>
    </row>
    <row r="345" spans="1:9">
      <c r="A345" s="4"/>
      <c r="B345" s="5"/>
      <c r="C345" s="4"/>
      <c r="D345" s="4"/>
      <c r="E345" s="4"/>
      <c r="F345" s="4"/>
      <c r="G345" s="4"/>
      <c r="H345" s="4"/>
      <c r="I345" s="4"/>
    </row>
    <row r="346" spans="1:9">
      <c r="A346" s="4"/>
      <c r="B346" s="5"/>
      <c r="C346" s="4"/>
      <c r="D346" s="4"/>
      <c r="E346" s="4"/>
      <c r="F346" s="4"/>
      <c r="G346" s="4"/>
      <c r="H346" s="4"/>
      <c r="I346" s="4"/>
    </row>
    <row r="347" spans="1:9">
      <c r="A347" s="4"/>
      <c r="B347" s="5"/>
      <c r="C347" s="4"/>
      <c r="D347" s="4"/>
      <c r="E347" s="4"/>
      <c r="F347" s="4"/>
      <c r="G347" s="4"/>
      <c r="H347" s="4"/>
      <c r="I347" s="4"/>
    </row>
    <row r="348" spans="1:9">
      <c r="A348" s="4"/>
      <c r="B348" s="5"/>
      <c r="C348" s="4"/>
      <c r="D348" s="4"/>
      <c r="E348" s="4"/>
      <c r="F348" s="4"/>
      <c r="G348" s="4"/>
      <c r="H348" s="4"/>
      <c r="I348" s="4"/>
    </row>
    <row r="349" spans="1:9">
      <c r="A349" s="4"/>
      <c r="B349" s="5"/>
      <c r="C349" s="4"/>
      <c r="D349" s="4"/>
      <c r="E349" s="4"/>
      <c r="F349" s="4"/>
      <c r="G349" s="4"/>
      <c r="H349" s="4"/>
      <c r="I349" s="4"/>
    </row>
    <row r="350" spans="1:9">
      <c r="A350" s="4"/>
      <c r="B350" s="5"/>
      <c r="C350" s="4"/>
      <c r="D350" s="4"/>
      <c r="E350" s="4"/>
      <c r="F350" s="4"/>
      <c r="G350" s="4"/>
      <c r="H350" s="4"/>
      <c r="I350" s="4"/>
    </row>
    <row r="351" spans="1:9">
      <c r="A351" s="4"/>
      <c r="B351" s="5"/>
      <c r="C351" s="4"/>
      <c r="D351" s="4"/>
      <c r="E351" s="4"/>
      <c r="F351" s="4"/>
      <c r="G351" s="4"/>
      <c r="H351" s="4"/>
      <c r="I351" s="4"/>
    </row>
    <row r="352" spans="1:9">
      <c r="A352" s="4"/>
      <c r="B352" s="5"/>
      <c r="C352" s="4"/>
      <c r="D352" s="4"/>
      <c r="E352" s="4"/>
      <c r="F352" s="4"/>
      <c r="G352" s="4"/>
      <c r="H352" s="4"/>
      <c r="I352" s="4"/>
    </row>
    <row r="353" spans="1:9">
      <c r="A353" s="4"/>
      <c r="B353" s="5"/>
      <c r="C353" s="4"/>
      <c r="D353" s="4"/>
      <c r="E353" s="4"/>
      <c r="F353" s="4"/>
      <c r="G353" s="4"/>
      <c r="H353" s="4"/>
      <c r="I353" s="4"/>
    </row>
    <row r="354" spans="1:9">
      <c r="A354" s="4"/>
      <c r="B354" s="5"/>
      <c r="C354" s="4"/>
      <c r="D354" s="4"/>
      <c r="E354" s="4"/>
      <c r="F354" s="4"/>
      <c r="G354" s="4"/>
      <c r="H354" s="4"/>
      <c r="I354" s="4"/>
    </row>
    <row r="355" spans="1:9">
      <c r="A355" s="4"/>
      <c r="B355" s="5"/>
      <c r="C355" s="4"/>
      <c r="D355" s="4"/>
      <c r="E355" s="4"/>
      <c r="F355" s="4"/>
      <c r="G355" s="4"/>
      <c r="H355" s="4"/>
      <c r="I355" s="4"/>
    </row>
    <row r="356" spans="1:9">
      <c r="A356" s="4"/>
      <c r="B356" s="5"/>
      <c r="C356" s="4"/>
      <c r="D356" s="4"/>
      <c r="E356" s="4"/>
      <c r="F356" s="4"/>
      <c r="G356" s="4"/>
      <c r="H356" s="4"/>
      <c r="I356" s="4"/>
    </row>
    <row r="357" spans="1:9">
      <c r="A357" s="4"/>
      <c r="B357" s="5"/>
      <c r="C357" s="4"/>
      <c r="D357" s="4"/>
      <c r="E357" s="4"/>
      <c r="F357" s="4"/>
      <c r="G357" s="4"/>
      <c r="H357" s="4"/>
      <c r="I357" s="4"/>
    </row>
    <row r="358" spans="1:9">
      <c r="A358" s="4"/>
      <c r="B358" s="5"/>
      <c r="C358" s="4"/>
      <c r="D358" s="4"/>
      <c r="E358" s="4"/>
      <c r="F358" s="4"/>
      <c r="G358" s="4"/>
      <c r="H358" s="4"/>
      <c r="I358" s="4"/>
    </row>
    <row r="359" spans="1:9">
      <c r="A359" s="4"/>
      <c r="B359" s="5"/>
      <c r="C359" s="4"/>
      <c r="D359" s="4"/>
      <c r="E359" s="4"/>
      <c r="F359" s="4"/>
      <c r="G359" s="4"/>
      <c r="H359" s="4"/>
      <c r="I359" s="4"/>
    </row>
    <row r="360" spans="1:9">
      <c r="A360" s="4"/>
      <c r="B360" s="5"/>
      <c r="C360" s="4"/>
      <c r="D360" s="4"/>
      <c r="E360" s="4"/>
      <c r="F360" s="4"/>
      <c r="G360" s="4"/>
      <c r="H360" s="4"/>
      <c r="I360" s="4"/>
    </row>
    <row r="361" spans="1:9">
      <c r="A361" s="4"/>
      <c r="B361" s="5"/>
      <c r="C361" s="4"/>
      <c r="D361" s="4"/>
      <c r="E361" s="4"/>
      <c r="F361" s="4"/>
      <c r="G361" s="4"/>
      <c r="H361" s="4"/>
      <c r="I361" s="4"/>
    </row>
    <row r="362" spans="1:9">
      <c r="A362" s="4"/>
      <c r="B362" s="5"/>
      <c r="C362" s="4"/>
      <c r="D362" s="4"/>
      <c r="E362" s="4"/>
      <c r="F362" s="4"/>
      <c r="G362" s="4"/>
      <c r="H362" s="4"/>
      <c r="I362" s="4"/>
    </row>
    <row r="363" spans="1:9">
      <c r="A363" s="4"/>
      <c r="B363" s="5"/>
      <c r="C363" s="4"/>
      <c r="D363" s="4"/>
      <c r="E363" s="4"/>
      <c r="F363" s="4"/>
      <c r="G363" s="4"/>
      <c r="H363" s="4"/>
      <c r="I363" s="4"/>
    </row>
    <row r="364" spans="1:9">
      <c r="A364" s="4"/>
      <c r="B364" s="5"/>
      <c r="C364" s="4"/>
      <c r="D364" s="4"/>
      <c r="E364" s="4"/>
      <c r="F364" s="4"/>
      <c r="G364" s="4"/>
      <c r="H364" s="4"/>
      <c r="I364" s="4"/>
    </row>
    <row r="365" spans="1:9">
      <c r="A365" s="4"/>
      <c r="B365" s="5"/>
      <c r="C365" s="4"/>
      <c r="D365" s="4"/>
      <c r="E365" s="4"/>
      <c r="F365" s="4"/>
      <c r="G365" s="4"/>
      <c r="H365" s="4"/>
      <c r="I365" s="4"/>
    </row>
    <row r="366" spans="1:9">
      <c r="A366" s="4"/>
      <c r="B366" s="5"/>
      <c r="C366" s="4"/>
      <c r="D366" s="4"/>
      <c r="E366" s="4"/>
      <c r="F366" s="4"/>
      <c r="G366" s="4"/>
      <c r="H366" s="4"/>
      <c r="I366" s="4"/>
    </row>
    <row r="367" spans="1:9">
      <c r="A367" s="4"/>
      <c r="B367" s="5"/>
      <c r="C367" s="4"/>
      <c r="D367" s="4"/>
      <c r="E367" s="4"/>
      <c r="F367" s="4"/>
      <c r="G367" s="4"/>
      <c r="H367" s="4"/>
      <c r="I367" s="4"/>
    </row>
    <row r="368" spans="1:9">
      <c r="A368" s="4"/>
      <c r="B368" s="5"/>
      <c r="C368" s="4"/>
      <c r="D368" s="4"/>
      <c r="E368" s="4"/>
      <c r="F368" s="4"/>
      <c r="G368" s="4"/>
      <c r="H368" s="4"/>
      <c r="I368" s="4"/>
    </row>
    <row r="369" spans="1:9">
      <c r="A369" s="4"/>
      <c r="B369" s="5"/>
      <c r="C369" s="4"/>
      <c r="D369" s="4"/>
      <c r="E369" s="4"/>
      <c r="F369" s="4"/>
      <c r="G369" s="4"/>
      <c r="H369" s="4"/>
      <c r="I369" s="4"/>
    </row>
    <row r="370" spans="1:9">
      <c r="A370" s="4"/>
      <c r="B370" s="5"/>
      <c r="C370" s="4"/>
      <c r="D370" s="4"/>
      <c r="E370" s="4"/>
      <c r="F370" s="4"/>
      <c r="G370" s="4"/>
      <c r="H370" s="4"/>
      <c r="I370" s="4"/>
    </row>
    <row r="371" spans="1:9">
      <c r="A371" s="4"/>
      <c r="B371" s="5"/>
      <c r="C371" s="4"/>
      <c r="D371" s="4"/>
      <c r="E371" s="4"/>
      <c r="F371" s="4"/>
      <c r="G371" s="4"/>
      <c r="H371" s="4"/>
      <c r="I371" s="4"/>
    </row>
    <row r="372" spans="1:9">
      <c r="A372" s="4"/>
      <c r="B372" s="5"/>
      <c r="C372" s="4"/>
      <c r="D372" s="4"/>
      <c r="E372" s="4"/>
      <c r="F372" s="4"/>
      <c r="G372" s="4"/>
      <c r="H372" s="4"/>
      <c r="I372" s="4"/>
    </row>
    <row r="373" spans="1:9">
      <c r="A373" s="4"/>
      <c r="B373" s="5"/>
      <c r="C373" s="4"/>
      <c r="D373" s="4"/>
      <c r="E373" s="4"/>
      <c r="F373" s="4"/>
      <c r="G373" s="4"/>
      <c r="H373" s="4"/>
      <c r="I373" s="4"/>
    </row>
    <row r="374" spans="1:9">
      <c r="A374" s="4"/>
      <c r="B374" s="5"/>
      <c r="C374" s="4"/>
      <c r="D374" s="4"/>
      <c r="E374" s="4"/>
      <c r="F374" s="4"/>
      <c r="G374" s="4"/>
      <c r="H374" s="4"/>
      <c r="I374" s="4"/>
    </row>
    <row r="375" spans="1:9">
      <c r="A375" s="4"/>
      <c r="B375" s="5"/>
      <c r="C375" s="4"/>
      <c r="D375" s="4"/>
      <c r="E375" s="4"/>
      <c r="F375" s="4"/>
      <c r="G375" s="4"/>
      <c r="H375" s="4"/>
      <c r="I375" s="4"/>
    </row>
    <row r="376" spans="1:9">
      <c r="A376" s="4"/>
      <c r="B376" s="5"/>
      <c r="C376" s="4"/>
      <c r="D376" s="4"/>
      <c r="E376" s="4"/>
      <c r="F376" s="4"/>
      <c r="G376" s="4"/>
      <c r="H376" s="4"/>
      <c r="I376" s="4"/>
    </row>
    <row r="377" spans="1:9">
      <c r="A377" s="4"/>
      <c r="B377" s="5"/>
      <c r="C377" s="4"/>
      <c r="D377" s="4"/>
      <c r="E377" s="4"/>
      <c r="F377" s="4"/>
      <c r="G377" s="4"/>
      <c r="H377" s="4"/>
      <c r="I377" s="4"/>
    </row>
    <row r="378" spans="1:9">
      <c r="A378" s="4"/>
      <c r="B378" s="5"/>
      <c r="C378" s="4"/>
      <c r="D378" s="4"/>
      <c r="E378" s="4"/>
      <c r="F378" s="4"/>
      <c r="G378" s="4"/>
      <c r="H378" s="4"/>
      <c r="I378" s="4"/>
    </row>
    <row r="379" spans="1:9">
      <c r="A379" s="4"/>
      <c r="B379" s="5"/>
      <c r="C379" s="4"/>
      <c r="D379" s="4"/>
      <c r="E379" s="4"/>
      <c r="F379" s="4"/>
      <c r="G379" s="4"/>
      <c r="H379" s="4"/>
      <c r="I379" s="4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subham</dc:creator>
  <cp:lastModifiedBy>Priyansh khandelwal</cp:lastModifiedBy>
  <dcterms:created xsi:type="dcterms:W3CDTF">2024-08-12T07:23:00Z</dcterms:created>
  <dcterms:modified xsi:type="dcterms:W3CDTF">2024-08-22T11:07:29Z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07A77F46B9694567AF440A86521445B7_11</vt:lpwstr>
  </property>
  <property fmtid="{D5CDD505-2E9C-101B-9397-08002B2CF9AE}" pid="3" name="KSOProductBuildVer">
    <vt:lpwstr>1033-12.2.0.17545</vt:lpwstr>
  </property>
</Properties>
</file>