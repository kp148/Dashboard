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05" activeTab="1"/>
  </bookViews>
  <sheets>
    <sheet name="Sheet2" sheetId="2" r:id="rId1"/>
    <sheet name="Sheet1" sheetId="1" r:id="rId2"/>
  </sheets>
  <definedNames>
    <definedName name="_xlnm._FilterDatabase" localSheetId="1" hidden="1">Sheet1!$A$2:$T$379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<sst xmlns="http://schemas.openxmlformats.org/spreadsheetml/2006/main" count="1531" uniqueCount="135">
  <si>
    <t>Rider_id</t>
  </si>
  <si>
    <t xml:space="preserve">Sum of  Amount to credit </t>
  </si>
  <si>
    <t>Grand Total</t>
  </si>
  <si>
    <t>Order_date</t>
  </si>
  <si>
    <t>Name</t>
  </si>
  <si>
    <t>HUB</t>
  </si>
  <si>
    <t>City</t>
  </si>
  <si>
    <t>FWD+REV ORDERS</t>
  </si>
  <si>
    <t>SDD ORDERS</t>
  </si>
  <si>
    <t>Total_clubbed_order</t>
  </si>
  <si>
    <t>RTS+FM_Orders</t>
  </si>
  <si>
    <t>FWD+REV Rate</t>
  </si>
  <si>
    <t>SDD RATE</t>
  </si>
  <si>
    <t xml:space="preserve"> CLUBBED ORD RATE </t>
  </si>
  <si>
    <t xml:space="preserve"> FWD+ REV TOTAL AMT </t>
  </si>
  <si>
    <t xml:space="preserve"> SDD TOTAL AMOUNT </t>
  </si>
  <si>
    <t xml:space="preserve"> Total Clubbed order Amt </t>
  </si>
  <si>
    <t xml:space="preserve"> TOTAL RTS + FM AMt </t>
  </si>
  <si>
    <t xml:space="preserve"> TOTAL M+N+O+P </t>
  </si>
  <si>
    <t xml:space="preserve"> L.P. @ 1% </t>
  </si>
  <si>
    <t xml:space="preserve"> Amount to credit </t>
  </si>
  <si>
    <t>Date Range</t>
  </si>
  <si>
    <t>Amjad</t>
  </si>
  <si>
    <t>DEL_Patparganj</t>
  </si>
  <si>
    <t>Delhi</t>
  </si>
  <si>
    <t>05-08-24 TO 11-08-24</t>
  </si>
  <si>
    <t>Jyoti Kumari Store</t>
  </si>
  <si>
    <t>DEL_Burari</t>
  </si>
  <si>
    <t>Ankur</t>
  </si>
  <si>
    <t>DEL_Bawana</t>
  </si>
  <si>
    <t>Pintoo Kumar Shahu</t>
  </si>
  <si>
    <t>NOI_Sector2_E</t>
  </si>
  <si>
    <t>Greater Noida</t>
  </si>
  <si>
    <t>Vikram Malhotra</t>
  </si>
  <si>
    <t>DEL_Lawrence</t>
  </si>
  <si>
    <t>Akhilesh Ojha</t>
  </si>
  <si>
    <t>Dishant Mehra</t>
  </si>
  <si>
    <t>DEL_TilakNagar</t>
  </si>
  <si>
    <t>Deepak Pal</t>
  </si>
  <si>
    <t>DEL_Badli</t>
  </si>
  <si>
    <t>Satver Singh Gurjar</t>
  </si>
  <si>
    <t>HAR_Badshahpur</t>
  </si>
  <si>
    <t>Gurgaon</t>
  </si>
  <si>
    <t>Vijay Singh</t>
  </si>
  <si>
    <t>DEL_UttamNagar</t>
  </si>
  <si>
    <t>Rahul</t>
  </si>
  <si>
    <t>Manish Sharma</t>
  </si>
  <si>
    <t>DEL_LadoSarai</t>
  </si>
  <si>
    <t>Vijay Kumar</t>
  </si>
  <si>
    <t>Vishw Jeet</t>
  </si>
  <si>
    <t>Ashish Gupta 3208</t>
  </si>
  <si>
    <t>Dhruv  Panchoury</t>
  </si>
  <si>
    <t>Gouri Shankar Sahu</t>
  </si>
  <si>
    <t>GZB_Indirapuram</t>
  </si>
  <si>
    <t>Ghaziabad</t>
  </si>
  <si>
    <t>Prabhat Pal</t>
  </si>
  <si>
    <t>DEL_Janakpuri</t>
  </si>
  <si>
    <t>Vicky</t>
  </si>
  <si>
    <t>DEL_LajpatNagar</t>
  </si>
  <si>
    <t>Mohd Aadil</t>
  </si>
  <si>
    <t>Sachin Kumar</t>
  </si>
  <si>
    <t>Vishal</t>
  </si>
  <si>
    <t>Gaurav Kumar</t>
  </si>
  <si>
    <t>DEL_MayurVihar</t>
  </si>
  <si>
    <t>Harmeet Mehra</t>
  </si>
  <si>
    <t>DEL_Najafgarh</t>
  </si>
  <si>
    <t>Akhilesh Kumar</t>
  </si>
  <si>
    <t>DEL_Bijwasan</t>
  </si>
  <si>
    <t>Lalit</t>
  </si>
  <si>
    <t>Md Ahmed</t>
  </si>
  <si>
    <t>Brijesh Kumar Jha</t>
  </si>
  <si>
    <t>Pradeep Dutt</t>
  </si>
  <si>
    <t>Del_Pitampura</t>
  </si>
  <si>
    <t>Raja</t>
  </si>
  <si>
    <t>Himanshu Goyal</t>
  </si>
  <si>
    <t>Deepak</t>
  </si>
  <si>
    <t>Sunny 123</t>
  </si>
  <si>
    <t>Aman</t>
  </si>
  <si>
    <t>Dhruv Singhal</t>
  </si>
  <si>
    <t>Chander Shekher</t>
  </si>
  <si>
    <t xml:space="preserve"> Vivek</t>
  </si>
  <si>
    <t>Kamal Singh</t>
  </si>
  <si>
    <t>Deepak Kumar</t>
  </si>
  <si>
    <t>Suraj Sahoo</t>
  </si>
  <si>
    <t>NOI_Sector45_E</t>
  </si>
  <si>
    <t>Noida</t>
  </si>
  <si>
    <t>Vishal Barman</t>
  </si>
  <si>
    <t>DEL_Okhla</t>
  </si>
  <si>
    <t>Yogesh Kumar</t>
  </si>
  <si>
    <t>DEL_Daryaganj</t>
  </si>
  <si>
    <t>Mohd Faisal</t>
  </si>
  <si>
    <t>Karan Singh</t>
  </si>
  <si>
    <t>Salman Khan</t>
  </si>
  <si>
    <t>Vikas Kumar</t>
  </si>
  <si>
    <t>DEL_Rithala</t>
  </si>
  <si>
    <t>Chandan Singh</t>
  </si>
  <si>
    <t>Mithlesh Kumar</t>
  </si>
  <si>
    <t>Gaurav Singh</t>
  </si>
  <si>
    <t>GZB_LoniDehat</t>
  </si>
  <si>
    <t>Boby</t>
  </si>
  <si>
    <t>Shekhar</t>
  </si>
  <si>
    <t>Jalaj Gaur</t>
  </si>
  <si>
    <t>Rupender Kumar Sharma</t>
  </si>
  <si>
    <t>Bhupender Kumar Sharma</t>
  </si>
  <si>
    <t>Rakesh Kumar</t>
  </si>
  <si>
    <t>Somvati</t>
  </si>
  <si>
    <t>Mohit Kumar</t>
  </si>
  <si>
    <t>DEL_GeetaColony</t>
  </si>
  <si>
    <t>Surender Parasar</t>
  </si>
  <si>
    <t>Rupali Devi</t>
  </si>
  <si>
    <t>Tafseer</t>
  </si>
  <si>
    <t>DEL_Jasola</t>
  </si>
  <si>
    <t>Mukesh Kumar</t>
  </si>
  <si>
    <t>Suraj Chavariya</t>
  </si>
  <si>
    <t>Sunny Kumar</t>
  </si>
  <si>
    <t>Del_Bhajanpura</t>
  </si>
  <si>
    <t>Karan Kashyap</t>
  </si>
  <si>
    <t>GZB_Nehrunagar</t>
  </si>
  <si>
    <t xml:space="preserve"> Farman</t>
  </si>
  <si>
    <t>DEL_Dilshadgarden</t>
  </si>
  <si>
    <t>Salim Ahmad</t>
  </si>
  <si>
    <t>Akshay Kumar</t>
  </si>
  <si>
    <t>Kuldeep Sharma</t>
  </si>
  <si>
    <t>Anish Kumar Singh</t>
  </si>
  <si>
    <t>Renu Yadav</t>
  </si>
  <si>
    <t>DEL_LM_KirtiNagar</t>
  </si>
  <si>
    <t>Rohit</t>
  </si>
  <si>
    <t>Mahesh</t>
  </si>
  <si>
    <t>Raja Chauhan</t>
  </si>
  <si>
    <t>Balwan</t>
  </si>
  <si>
    <t>Kunal</t>
  </si>
  <si>
    <t>Adarsh Rathore</t>
  </si>
  <si>
    <t>Dharmender Bamdev</t>
  </si>
  <si>
    <t>Monu Tyagi</t>
  </si>
  <si>
    <t>Shahnawaj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</si>
</sst>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180" fontId="0" fillId="0" borderId="0" xfId="0" applyNumberFormat="1" applyFont="1" applyFill="1" applyAlignment="1"/>
    <xf numFmtId="176" fontId="1" fillId="2" borderId="1" xfId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176" fontId="1" fillId="2" borderId="1" xfId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dd/mm/yyyy;@"/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16.6620486111" refreshedBy="subham" recordCount="377">
  <cacheSource type="worksheet">
    <worksheetSource name="Table1"/>
  </cacheSource>
  <cacheFields count="20">
    <cacheField name="Rider_id" numFmtId="0">
      <sharedItems containsSemiMixedTypes="0" containsString="0" containsNumber="1" containsInteger="1" minValue="0" maxValue="5085347" count="82">
        <n v="115423"/>
        <n v="218619"/>
        <n v="641800"/>
        <n v="652514"/>
        <n v="656262"/>
        <n v="719648"/>
        <n v="989724"/>
        <n v="1020330"/>
        <n v="1066721"/>
        <n v="1340684"/>
        <n v="1367231"/>
        <n v="1438635"/>
        <n v="1440787"/>
        <n v="1844773"/>
        <n v="1980518"/>
        <n v="2074755"/>
        <n v="2260443"/>
        <n v="2279276"/>
        <n v="2422645"/>
        <n v="2486469"/>
        <n v="2523452"/>
        <n v="2887480"/>
        <n v="2981873"/>
        <n v="3019264"/>
        <n v="3285303"/>
        <n v="3439656"/>
        <n v="3471879"/>
        <n v="3530069"/>
        <n v="3566686"/>
        <n v="4043094"/>
        <n v="4089468"/>
        <n v="4225595"/>
        <n v="4265984"/>
        <n v="4347525"/>
        <n v="4355254"/>
        <n v="4355349"/>
        <n v="4410017"/>
        <n v="4503785"/>
        <n v="4514679"/>
        <n v="4535655"/>
        <n v="4540573"/>
        <n v="4549744"/>
        <n v="4571255"/>
        <n v="4573566"/>
        <n v="4573871"/>
        <n v="4589223"/>
        <n v="4591370"/>
        <n v="4608063"/>
        <n v="4610666"/>
        <n v="4620826"/>
        <n v="4634307"/>
        <n v="4654347"/>
        <n v="4664740"/>
        <n v="4665756"/>
        <n v="4671352"/>
        <n v="4676053"/>
        <n v="4687336"/>
        <n v="4694879"/>
        <n v="4697395"/>
        <n v="4702581"/>
        <n v="4727309"/>
        <n v="4742088"/>
        <n v="4780923"/>
        <n v="4872376"/>
        <n v="4891192"/>
        <n v="4902329"/>
        <n v="4908494"/>
        <n v="4909378"/>
        <n v="4926793"/>
        <n v="4952152"/>
        <n v="5025433"/>
        <n v="5036274"/>
        <n v="5046111"/>
        <n v="5046496"/>
        <n v="5058578"/>
        <n v="5061023"/>
        <n v="5062979"/>
        <n v="5068174"/>
        <n v="5077579"/>
        <n v="5077620"/>
        <n v="5084605"/>
        <n v="5085347"/>
      </sharedItems>
    </cacheField>
    <cacheField name="Order_date" numFmtId="180">
      <sharedItems containsSemiMixedTypes="0" containsString="0" containsNonDate="0" containsDate="1" minDate="2024-08-05T00:00:00" maxDate="2024-08-11T00:00:00" count="7">
        <d v="2024-08-07T00:00:00"/>
        <d v="2024-08-08T00:00:00"/>
        <d v="2024-08-09T00:00:00"/>
        <d v="2024-08-06T00:00:00"/>
        <d v="2024-08-10T00:00:00"/>
        <d v="2024-08-11T00:00:00"/>
        <d v="2024-08-05T00:00:00"/>
      </sharedItems>
    </cacheField>
    <cacheField name="Name" numFmtId="0">
      <sharedItems count="80">
        <s v="Amjad"/>
        <s v="Jyoti Kumari Store"/>
        <s v="Ankur"/>
        <s v="Pintoo Kumar Shahu"/>
        <s v="Vikram Malhotra"/>
        <s v="Akhilesh Ojha"/>
        <s v="Dishant Mehra"/>
        <s v="Deepak Pal"/>
        <s v="Satver Singh Gurjar"/>
        <s v="Vijay Singh"/>
        <s v="Rahul"/>
        <s v="Manish Sharma"/>
        <s v="Vijay Kumar"/>
        <s v="Vishw Jeet"/>
        <s v="Ashish Gupta 3208"/>
        <s v="Dhruv  Panchoury"/>
        <s v="Gouri Shankar Sahu"/>
        <s v="Prabhat Pal"/>
        <s v="Vicky"/>
        <s v="Mohd Aadil"/>
        <s v="Sachin Kumar"/>
        <s v="Vishal"/>
        <s v="Gaurav Kumar"/>
        <s v="Harmeet Mehra"/>
        <s v="Akhilesh Kumar"/>
        <s v="Lalit"/>
        <s v="Md Ahmed"/>
        <s v="Brijesh Kumar Jha"/>
        <s v="Pradeep Dutt"/>
        <s v="Raja"/>
        <s v="Himanshu Goyal"/>
        <s v="Deepak"/>
        <s v="Sunny 123"/>
        <s v="Aman"/>
        <s v="Dhruv Singhal"/>
        <s v="Chander Shekher"/>
        <s v=" Vivek"/>
        <s v=" Rahul"/>
        <s v="Kamal Singh"/>
        <s v="Deepak Kumar"/>
        <s v="Suraj Sahoo"/>
        <s v="Vishal Barman"/>
        <s v="Yogesh Kumar"/>
        <s v="Mohd Faisal"/>
        <s v="Karan Singh"/>
        <s v="Salman Khan"/>
        <s v="Vikas Kumar"/>
        <s v="Chandan Singh"/>
        <s v="Mithlesh Kumar"/>
        <s v="Gaurav Singh"/>
        <s v="Boby"/>
        <s v="Shekhar"/>
        <s v="Jalaj Gaur"/>
        <s v="Rupender Kumar Sharma"/>
        <s v="Bhupender Kumar Sharma"/>
        <s v="Rakesh Kumar"/>
        <s v="Somvati"/>
        <s v="Mohit Kumar"/>
        <s v="Surender Parasar"/>
        <s v="Rupali Devi"/>
        <s v="Tafseer"/>
        <s v="Mukesh Kumar"/>
        <s v="Suraj Chavariya"/>
        <s v="Sunny Kumar"/>
        <s v="Karan Kashyap"/>
        <s v=" Farman"/>
        <s v="Salim Ahmad"/>
        <s v="Akshay Kumar"/>
        <s v="Kuldeep Sharma"/>
        <s v="Anish Kumar Singh"/>
        <s v="Renu Yadav"/>
        <s v="Rohit"/>
        <s v="Mahesh"/>
        <s v="Raja Chauhan"/>
        <s v="Balwan"/>
        <s v="Kunal"/>
        <s v="Adarsh Rathore"/>
        <s v="Dharmender Bamdev"/>
        <s v="Monu Tyagi"/>
        <s v="Shahnawaj"/>
      </sharedItems>
    </cacheField>
    <cacheField name="HUB" numFmtId="0">
      <sharedItems count="28">
        <s v="DEL_Patparganj"/>
        <s v="DEL_Burari"/>
        <s v="DEL_Bawana"/>
        <s v="NOI_Sector2_E"/>
        <s v="DEL_Lawrence"/>
        <s v="DEL_TilakNagar"/>
        <s v="DEL_Badli"/>
        <s v="HAR_Badshahpur"/>
        <s v="DEL_UttamNagar"/>
        <s v="DEL_LadoSarai"/>
        <s v="GZB_Indirapuram"/>
        <s v="DEL_Janakpuri"/>
        <s v="DEL_LajpatNagar"/>
        <s v="DEL_MayurVihar"/>
        <s v="DEL_Najafgarh"/>
        <s v="DEL_Bijwasan"/>
        <s v="Del_Pitampura"/>
        <s v="NOI_Sector45_E"/>
        <s v="DEL_Okhla"/>
        <s v="DEL_Daryaganj"/>
        <s v="DEL_Rithala"/>
        <s v="GZB_LoniDehat"/>
        <s v="DEL_GeetaColony"/>
        <s v="DEL_Jasola"/>
        <s v="Del_Bhajanpura"/>
        <s v="GZB_Nehrunagar"/>
        <s v="DEL_Dilshadgarden"/>
        <s v="DEL_LM_KirtiNagar"/>
      </sharedItems>
    </cacheField>
    <cacheField name="City" numFmtId="0">
      <sharedItems count="5">
        <s v="Delhi"/>
        <s v="Greater Noida"/>
        <s v="Gurgaon"/>
        <s v="Ghaziabad"/>
        <s v="Noida"/>
      </sharedItems>
    </cacheField>
    <cacheField name="FWD+REV ORDERS" numFmtId="0">
      <sharedItems containsSemiMixedTypes="0" containsString="0" containsNumber="1" containsInteger="1" minValue="0" maxValue="87" count="72">
        <n v="17"/>
        <n v="29"/>
        <n v="9"/>
        <n v="48"/>
        <n v="37"/>
        <n v="22"/>
        <n v="44"/>
        <n v="32"/>
        <n v="45"/>
        <n v="21"/>
        <n v="47"/>
        <n v="57"/>
        <n v="43"/>
        <n v="39"/>
        <n v="46"/>
        <n v="28"/>
        <n v="33"/>
        <n v="0"/>
        <n v="3"/>
        <n v="1"/>
        <n v="2"/>
        <n v="10"/>
        <n v="26"/>
        <n v="23"/>
        <n v="68"/>
        <n v="71"/>
        <n v="58"/>
        <n v="66"/>
        <n v="63"/>
        <n v="79"/>
        <n v="64"/>
        <n v="50"/>
        <n v="56"/>
        <n v="51"/>
        <n v="59"/>
        <n v="30"/>
        <n v="12"/>
        <n v="34"/>
        <n v="35"/>
        <n v="27"/>
        <n v="42"/>
        <n v="38"/>
        <n v="41"/>
        <n v="16"/>
        <n v="54"/>
        <n v="49"/>
        <n v="31"/>
        <n v="19"/>
        <n v="6"/>
        <n v="11"/>
        <n v="69"/>
        <n v="87"/>
        <n v="72"/>
        <n v="24"/>
        <n v="62"/>
        <n v="36"/>
        <n v="4"/>
        <n v="8"/>
        <n v="18"/>
        <n v="14"/>
        <n v="13"/>
        <n v="25"/>
        <n v="15"/>
        <n v="40"/>
        <n v="52"/>
        <n v="5"/>
        <n v="61"/>
        <n v="82"/>
        <n v="77"/>
        <n v="20"/>
        <n v="7"/>
        <n v="55"/>
      </sharedItems>
    </cacheField>
    <cacheField name="SDD ORDERS" numFmtId="0">
      <sharedItems containsSemiMixedTypes="0" containsString="0" containsNumber="1" containsInteger="1" minValue="0" maxValue="34" count="32">
        <n v="0"/>
        <n v="21"/>
        <n v="25"/>
        <n v="16"/>
        <n v="23"/>
        <n v="28"/>
        <n v="11"/>
        <n v="19"/>
        <n v="12"/>
        <n v="8"/>
        <n v="9"/>
        <n v="15"/>
        <n v="7"/>
        <n v="10"/>
        <n v="29"/>
        <n v="26"/>
        <n v="18"/>
        <n v="20"/>
        <n v="14"/>
        <n v="4"/>
        <n v="24"/>
        <n v="27"/>
        <n v="3"/>
        <n v="1"/>
        <n v="30"/>
        <n v="6"/>
        <n v="13"/>
        <n v="5"/>
        <n v="17"/>
        <n v="34"/>
        <n v="31"/>
        <n v="22"/>
      </sharedItems>
    </cacheField>
    <cacheField name="Total_clubbed_order" numFmtId="0">
      <sharedItems containsSemiMixedTypes="0" containsString="0" containsNumber="1" containsInteger="1" minValue="0" maxValue="29" count="25">
        <n v="6"/>
        <n v="2"/>
        <n v="12"/>
        <n v="5"/>
        <n v="17"/>
        <n v="29"/>
        <n v="1"/>
        <n v="7"/>
        <n v="3"/>
        <n v="11"/>
        <n v="4"/>
        <n v="0"/>
        <n v="10"/>
        <n v="13"/>
        <n v="8"/>
        <n v="26"/>
        <n v="9"/>
        <n v="14"/>
        <n v="18"/>
        <n v="15"/>
        <n v="23"/>
        <n v="19"/>
        <n v="20"/>
        <n v="21"/>
        <n v="22"/>
      </sharedItems>
    </cacheField>
    <cacheField name="RTS+FM_Orders" numFmtId="0">
      <sharedItems containsSemiMixedTypes="0" containsString="0" containsNumber="1" containsInteger="1" minValue="0" maxValue="0" count="1">
        <n v="0"/>
      </sharedItems>
    </cacheField>
    <cacheField name="FWD+REV Rate" numFmtId="0">
      <sharedItems containsSemiMixedTypes="0" containsString="0" containsNumber="1" containsInteger="1" minValue="0" maxValue="18" count="2">
        <n v="17"/>
        <n v="18"/>
      </sharedItems>
    </cacheField>
    <cacheField name="SDD RATE" numFmtId="0">
      <sharedItems containsSemiMixedTypes="0" containsString="0" containsNumber="1" containsInteger="1" minValue="0" maxValue="22" count="1">
        <n v="22"/>
      </sharedItems>
    </cacheField>
    <cacheField name=" CLUBBED ORD RATE " numFmtId="0">
      <sharedItems containsSemiMixedTypes="0" containsString="0" containsNumber="1" containsInteger="1" minValue="0" maxValue="8" count="1">
        <n v="8"/>
      </sharedItems>
    </cacheField>
    <cacheField name=" FWD+ REV TOTAL AMT " numFmtId="0">
      <sharedItems containsSemiMixedTypes="0" containsString="0" containsNumber="1" containsInteger="1" minValue="0" maxValue="1566" count="86">
        <n v="289"/>
        <n v="493"/>
        <n v="153"/>
        <n v="816"/>
        <n v="629"/>
        <n v="374"/>
        <n v="748"/>
        <n v="544"/>
        <n v="765"/>
        <n v="357"/>
        <n v="799"/>
        <n v="969"/>
        <n v="731"/>
        <n v="663"/>
        <n v="782"/>
        <n v="476"/>
        <n v="561"/>
        <n v="0"/>
        <n v="51"/>
        <n v="17"/>
        <n v="34"/>
        <n v="170"/>
        <n v="442"/>
        <n v="391"/>
        <n v="846"/>
        <n v="1224"/>
        <n v="1278"/>
        <n v="1044"/>
        <n v="1188"/>
        <n v="1134"/>
        <n v="1343"/>
        <n v="1088"/>
        <n v="850"/>
        <n v="952"/>
        <n v="867"/>
        <n v="1156"/>
        <n v="1003"/>
        <n v="510"/>
        <n v="204"/>
        <n v="578"/>
        <n v="595"/>
        <n v="459"/>
        <n v="714"/>
        <n v="646"/>
        <n v="1071"/>
        <n v="697"/>
        <n v="272"/>
        <n v="918"/>
        <n v="833"/>
        <n v="527"/>
        <n v="323"/>
        <n v="102"/>
        <n v="187"/>
        <n v="1422"/>
        <n v="1242"/>
        <n v="1566"/>
        <n v="1296"/>
        <n v="1062"/>
        <n v="408"/>
        <n v="1054"/>
        <n v="612"/>
        <n v="68"/>
        <n v="136"/>
        <n v="306"/>
        <n v="238"/>
        <n v="221"/>
        <n v="504"/>
        <n v="630"/>
        <n v="378"/>
        <n v="702"/>
        <n v="540"/>
        <n v="425"/>
        <n v="255"/>
        <n v="680"/>
        <n v="884"/>
        <n v="85"/>
        <n v="1098"/>
        <n v="342"/>
        <n v="558"/>
        <n v="1122"/>
        <n v="1394"/>
        <n v="1309"/>
        <n v="340"/>
        <n v="119"/>
        <n v="1037"/>
        <n v="935"/>
      </sharedItems>
    </cacheField>
    <cacheField name=" SDD TOTAL AMOUNT " numFmtId="0">
      <sharedItems containsSemiMixedTypes="0" containsString="0" containsNumber="1" containsInteger="1" minValue="0" maxValue="748" count="32">
        <n v="0"/>
        <n v="462"/>
        <n v="550"/>
        <n v="352"/>
        <n v="506"/>
        <n v="616"/>
        <n v="242"/>
        <n v="418"/>
        <n v="264"/>
        <n v="176"/>
        <n v="198"/>
        <n v="330"/>
        <n v="154"/>
        <n v="220"/>
        <n v="638"/>
        <n v="572"/>
        <n v="396"/>
        <n v="440"/>
        <n v="308"/>
        <n v="88"/>
        <n v="528"/>
        <n v="594"/>
        <n v="66"/>
        <n v="22"/>
        <n v="660"/>
        <n v="132"/>
        <n v="286"/>
        <n v="110"/>
        <n v="374"/>
        <n v="748"/>
        <n v="682"/>
        <n v="484"/>
      </sharedItems>
    </cacheField>
    <cacheField name=" Total Clubbed order Amt " numFmtId="0">
      <sharedItems containsSemiMixedTypes="0" containsString="0" containsNumber="1" containsInteger="1" minValue="0" maxValue="232" count="25">
        <n v="48"/>
        <n v="16"/>
        <n v="96"/>
        <n v="40"/>
        <n v="136"/>
        <n v="232"/>
        <n v="8"/>
        <n v="56"/>
        <n v="24"/>
        <n v="88"/>
        <n v="32"/>
        <n v="0"/>
        <n v="80"/>
        <n v="104"/>
        <n v="64"/>
        <n v="208"/>
        <n v="72"/>
        <n v="112"/>
        <n v="144"/>
        <n v="120"/>
        <n v="184"/>
        <n v="152"/>
        <n v="160"/>
        <n v="168"/>
        <n v="176"/>
      </sharedItems>
    </cacheField>
    <cacheField name=" TOTAL RTS + FM AMt " numFmtId="0">
      <sharedItems containsSemiMixedTypes="0" containsString="0" containsNumber="1" containsInteger="1" minValue="0" maxValue="0" count="1">
        <n v="0"/>
      </sharedItems>
    </cacheField>
    <cacheField name=" TOTAL M+N+O+P " numFmtId="0">
      <sharedItems containsSemiMixedTypes="0" containsString="0" containsNumber="1" containsInteger="1" minValue="0" maxValue="1888" count="275">
        <n v="337"/>
        <n v="541"/>
        <n v="169"/>
        <n v="1374"/>
        <n v="1219"/>
        <n v="774"/>
        <n v="1434"/>
        <n v="1231"/>
        <n v="1256"/>
        <n v="805"/>
        <n v="607"/>
        <n v="847"/>
        <n v="1025"/>
        <n v="1197"/>
        <n v="687"/>
        <n v="870"/>
        <n v="787"/>
        <n v="389"/>
        <n v="508"/>
        <n v="609"/>
        <n v="525"/>
        <n v="392"/>
        <n v="272"/>
        <n v="51"/>
        <n v="192"/>
        <n v="238"/>
        <n v="355"/>
        <n v="280"/>
        <n v="266"/>
        <n v="34"/>
        <n v="332"/>
        <n v="442"/>
        <n v="407"/>
        <n v="643"/>
        <n v="926"/>
        <n v="1312"/>
        <n v="1888"/>
        <n v="1778"/>
        <n v="1852"/>
        <n v="1550"/>
        <n v="1551"/>
        <n v="1168"/>
        <n v="0"/>
        <n v="930"/>
        <n v="992"/>
        <n v="883"/>
        <n v="1447"/>
        <n v="1244"/>
        <n v="1059"/>
        <n v="518"/>
        <n v="866"/>
        <n v="212"/>
        <n v="906"/>
        <n v="862"/>
        <n v="666"/>
        <n v="534"/>
        <n v="633"/>
        <n v="507"/>
        <n v="399"/>
        <n v="730"/>
        <n v="653"/>
        <n v="662"/>
        <n v="625"/>
        <n v="611"/>
        <n v="848"/>
        <n v="1111"/>
        <n v="697"/>
        <n v="17"/>
        <n v="296"/>
        <n v="780"/>
        <n v="1077"/>
        <n v="733"/>
        <n v="872"/>
        <n v="618"/>
        <n v="483"/>
        <n v="753"/>
        <n v="1190"/>
        <n v="1030"/>
        <n v="1373"/>
        <n v="717"/>
        <n v="990"/>
        <n v="1033"/>
        <n v="670"/>
        <n v="559"/>
        <n v="678"/>
        <n v="305"/>
        <n v="339"/>
        <n v="365"/>
        <n v="474"/>
        <n v="102"/>
        <n v="228"/>
        <n v="393"/>
        <n v="379"/>
        <n v="404"/>
        <n v="242"/>
        <n v="216"/>
        <n v="88"/>
        <n v="578"/>
        <n v="700"/>
        <n v="336"/>
        <n v="1608"/>
        <n v="1508"/>
        <n v="1684"/>
        <n v="1502"/>
        <n v="1134"/>
        <n v="432"/>
        <n v="1515"/>
        <n v="660"/>
        <n v="1212"/>
        <n v="1627"/>
        <n v="1354"/>
        <n v="288"/>
        <n v="406"/>
        <n v="531"/>
        <n v="284"/>
        <n v="634"/>
        <n v="331"/>
        <n v="475"/>
        <n v="322"/>
        <n v="246"/>
        <n v="321"/>
        <n v="237"/>
        <n v="397"/>
        <n v="481"/>
        <n v="467"/>
        <n v="140"/>
        <n v="455"/>
        <n v="398"/>
        <n v="170"/>
        <n v="535"/>
        <n v="204"/>
        <n v="229"/>
        <n v="544"/>
        <n v="686"/>
        <n v="410"/>
        <n v="694"/>
        <n v="758"/>
        <n v="564"/>
        <n v="425"/>
        <n v="263"/>
        <n v="576"/>
        <n v="728"/>
        <n v="524"/>
        <n v="828"/>
        <n v="834"/>
        <n v="563"/>
        <n v="219"/>
        <n v="76"/>
        <n v="501"/>
        <n v="651"/>
        <n v="778"/>
        <n v="610"/>
        <n v="956"/>
        <n v="286"/>
        <n v="441"/>
        <n v="409"/>
        <n v="402"/>
        <n v="603"/>
        <n v="588"/>
        <n v="743"/>
        <n v="621"/>
        <n v="1000"/>
        <n v="490"/>
        <n v="658"/>
        <n v="632"/>
        <n v="512"/>
        <n v="668"/>
        <n v="804"/>
        <n v="714"/>
        <n v="1480"/>
        <n v="1368"/>
        <n v="1214"/>
        <n v="1210"/>
        <n v="888"/>
        <n v="1206"/>
        <n v="1016"/>
        <n v="838"/>
        <n v="342"/>
        <n v="718"/>
        <n v="1222"/>
        <n v="1392"/>
        <n v="656"/>
        <n v="1184"/>
        <n v="1240"/>
        <n v="1458"/>
        <n v="1485"/>
        <n v="1006"/>
        <n v="433"/>
        <n v="972"/>
        <n v="830"/>
        <n v="1203"/>
        <n v="1448"/>
        <n v="85"/>
        <n v="221"/>
        <n v="136"/>
        <n v="764"/>
        <n v="807"/>
        <n v="863"/>
        <n v="357"/>
        <n v="954"/>
        <n v="864"/>
        <n v="347"/>
        <n v="310"/>
        <n v="462"/>
        <n v="516"/>
        <n v="556"/>
        <n v="328"/>
        <n v="154"/>
        <n v="803"/>
        <n v="789"/>
        <n v="1049"/>
        <n v="584"/>
        <n v="543"/>
        <n v="663"/>
        <n v="855"/>
        <n v="581"/>
        <n v="532"/>
        <n v="42"/>
        <n v="161"/>
        <n v="254"/>
        <n v="874"/>
        <n v="1146"/>
        <n v="871"/>
        <n v="999"/>
        <n v="1484"/>
        <n v="493"/>
        <n v="300"/>
        <n v="456"/>
        <n v="608"/>
        <n v="466"/>
        <n v="325"/>
        <n v="152"/>
        <n v="279"/>
        <n v="340"/>
        <n v="502"/>
        <n v="947"/>
        <n v="281"/>
        <n v="354"/>
        <n v="338"/>
        <n v="640"/>
        <n v="702"/>
        <n v="712"/>
        <n v="775"/>
        <n v="295"/>
        <n v="405"/>
        <n v="593"/>
        <n v="209"/>
        <n v="330"/>
        <n v="110"/>
        <n v="313"/>
        <n v="382"/>
        <n v="458"/>
        <n v="592"/>
        <n v="459"/>
        <n v="529"/>
        <n v="798"/>
        <n v="602"/>
        <n v="264"/>
        <n v="119"/>
        <n v="958"/>
        <n v="1069"/>
        <n v="983"/>
        <n v="772"/>
        <n v="278"/>
        <n v="255"/>
        <n v="287"/>
        <n v="374"/>
        <n v="271"/>
        <n v="769"/>
        <n v="894"/>
        <n v="297"/>
        <n v="143"/>
        <n v="206"/>
        <n v="346"/>
        <n v="538"/>
      </sharedItems>
    </cacheField>
    <cacheField name=" L.P. @ 1% " numFmtId="0">
      <sharedItems containsSemiMixedTypes="0" containsString="0" containsNumber="1" minValue="0" maxValue="18.88" count="275">
        <n v="3.37"/>
        <n v="5.41"/>
        <n v="1.69"/>
        <n v="13.74"/>
        <n v="12.19"/>
        <n v="7.74"/>
        <n v="14.34"/>
        <n v="12.31"/>
        <n v="12.56"/>
        <n v="8.05"/>
        <n v="6.07"/>
        <n v="8.47"/>
        <n v="10.25"/>
        <n v="11.97"/>
        <n v="6.87"/>
        <n v="8.7"/>
        <n v="7.87"/>
        <n v="3.89"/>
        <n v="5.08"/>
        <n v="6.09"/>
        <n v="5.25"/>
        <n v="3.92"/>
        <n v="2.72"/>
        <n v="0.51"/>
        <n v="1.92"/>
        <n v="2.38"/>
        <n v="3.55"/>
        <n v="2.8"/>
        <n v="2.66"/>
        <n v="0.34"/>
        <n v="3.32"/>
        <n v="4.42"/>
        <n v="4.07"/>
        <n v="6.43"/>
        <n v="9.26"/>
        <n v="13.12"/>
        <n v="18.88"/>
        <n v="17.78"/>
        <n v="18.52"/>
        <n v="15.5"/>
        <n v="15.51"/>
        <n v="11.68"/>
        <n v="0"/>
        <n v="9.3"/>
        <n v="9.92"/>
        <n v="8.83"/>
        <n v="14.47"/>
        <n v="12.44"/>
        <n v="10.59"/>
        <n v="5.18"/>
        <n v="8.66"/>
        <n v="2.12"/>
        <n v="9.06"/>
        <n v="8.62"/>
        <n v="6.66"/>
        <n v="5.34"/>
        <n v="6.33"/>
        <n v="5.07"/>
        <n v="3.99"/>
        <n v="7.3"/>
        <n v="6.53"/>
        <n v="6.62"/>
        <n v="6.25"/>
        <n v="6.11"/>
        <n v="8.48"/>
        <n v="11.11"/>
        <n v="6.97"/>
        <n v="0.17"/>
        <n v="2.96"/>
        <n v="7.8"/>
        <n v="10.77"/>
        <n v="7.33"/>
        <n v="8.72"/>
        <n v="6.18"/>
        <n v="4.83"/>
        <n v="7.53"/>
        <n v="11.9"/>
        <n v="10.3"/>
        <n v="13.73"/>
        <n v="7.17"/>
        <n v="9.9"/>
        <n v="10.33"/>
        <n v="6.7"/>
        <n v="5.59"/>
        <n v="6.78"/>
        <n v="3.05"/>
        <n v="3.39"/>
        <n v="3.65"/>
        <n v="4.74"/>
        <n v="1.02"/>
        <n v="2.28"/>
        <n v="3.93"/>
        <n v="3.79"/>
        <n v="4.04"/>
        <n v="2.42"/>
        <n v="2.16"/>
        <n v="0.88"/>
        <n v="5.78"/>
        <n v="7"/>
        <n v="3.36"/>
        <n v="16.08"/>
        <n v="15.08"/>
        <n v="16.84"/>
        <n v="15.02"/>
        <n v="11.34"/>
        <n v="4.32"/>
        <n v="15.15"/>
        <n v="6.6"/>
        <n v="12.12"/>
        <n v="16.27"/>
        <n v="13.54"/>
        <n v="2.88"/>
        <n v="4.06"/>
        <n v="5.31"/>
        <n v="2.84"/>
        <n v="6.34"/>
        <n v="3.31"/>
        <n v="4.75"/>
        <n v="3.22"/>
        <n v="2.46"/>
        <n v="3.21"/>
        <n v="2.37"/>
        <n v="3.97"/>
        <n v="4.81"/>
        <n v="4.67"/>
        <n v="1.4"/>
        <n v="4.55"/>
        <n v="3.98"/>
        <n v="1.7"/>
        <n v="5.35"/>
        <n v="2.04"/>
        <n v="2.29"/>
        <n v="5.44"/>
        <n v="6.86"/>
        <n v="4.1"/>
        <n v="6.94"/>
        <n v="7.58"/>
        <n v="5.64"/>
        <n v="4.25"/>
        <n v="2.63"/>
        <n v="5.76"/>
        <n v="7.28"/>
        <n v="5.24"/>
        <n v="8.28"/>
        <n v="8.34"/>
        <n v="5.63"/>
        <n v="2.19"/>
        <n v="0.76"/>
        <n v="5.01"/>
        <n v="6.51"/>
        <n v="7.78"/>
        <n v="6.1"/>
        <n v="9.56"/>
        <n v="2.86"/>
        <n v="4.41"/>
        <n v="4.09"/>
        <n v="4.02"/>
        <n v="6.03"/>
        <n v="5.88"/>
        <n v="7.43"/>
        <n v="6.21"/>
        <n v="10"/>
        <n v="4.9"/>
        <n v="6.58"/>
        <n v="6.32"/>
        <n v="5.12"/>
        <n v="6.68"/>
        <n v="8.04"/>
        <n v="7.14"/>
        <n v="14.8"/>
        <n v="13.68"/>
        <n v="12.14"/>
        <n v="12.1"/>
        <n v="8.88"/>
        <n v="12.06"/>
        <n v="10.16"/>
        <n v="8.38"/>
        <n v="3.42"/>
        <n v="7.18"/>
        <n v="12.22"/>
        <n v="13.92"/>
        <n v="6.56"/>
        <n v="11.84"/>
        <n v="12.4"/>
        <n v="14.58"/>
        <n v="14.85"/>
        <n v="10.06"/>
        <n v="4.33"/>
        <n v="9.72"/>
        <n v="8.3"/>
        <n v="12.03"/>
        <n v="14.48"/>
        <n v="0.85"/>
        <n v="2.21"/>
        <n v="1.36"/>
        <n v="7.64"/>
        <n v="8.07"/>
        <n v="8.63"/>
        <n v="3.57"/>
        <n v="9.54"/>
        <n v="8.64"/>
        <n v="3.47"/>
        <n v="3.1"/>
        <n v="4.62"/>
        <n v="5.16"/>
        <n v="5.56"/>
        <n v="3.28"/>
        <n v="1.54"/>
        <n v="8.03"/>
        <n v="7.89"/>
        <n v="10.49"/>
        <n v="5.84"/>
        <n v="5.43"/>
        <n v="6.63"/>
        <n v="8.55"/>
        <n v="5.81"/>
        <n v="5.32"/>
        <n v="0.42"/>
        <n v="1.61"/>
        <n v="2.54"/>
        <n v="8.74"/>
        <n v="11.46"/>
        <n v="8.71"/>
        <n v="9.99"/>
        <n v="14.84"/>
        <n v="4.93"/>
        <n v="3"/>
        <n v="4.56"/>
        <n v="6.08"/>
        <n v="4.66"/>
        <n v="3.25"/>
        <n v="1.52"/>
        <n v="2.79"/>
        <n v="3.4"/>
        <n v="5.02"/>
        <n v="9.47"/>
        <n v="2.81"/>
        <n v="3.54"/>
        <n v="3.38"/>
        <n v="6.4"/>
        <n v="7.02"/>
        <n v="7.12"/>
        <n v="7.75"/>
        <n v="2.95"/>
        <n v="4.05"/>
        <n v="5.93"/>
        <n v="2.09"/>
        <n v="3.3"/>
        <n v="1.1"/>
        <n v="3.13"/>
        <n v="3.82"/>
        <n v="4.58"/>
        <n v="5.92"/>
        <n v="4.59"/>
        <n v="5.29"/>
        <n v="7.98"/>
        <n v="6.02"/>
        <n v="2.64"/>
        <n v="1.19"/>
        <n v="9.58"/>
        <n v="10.69"/>
        <n v="9.83"/>
        <n v="7.72"/>
        <n v="2.78"/>
        <n v="2.55"/>
        <n v="2.87"/>
        <n v="3.74"/>
        <n v="2.71"/>
        <n v="7.69"/>
        <n v="8.94"/>
        <n v="2.97"/>
        <n v="1.43"/>
        <n v="2.06"/>
        <n v="3.46"/>
        <n v="5.38"/>
      </sharedItems>
    </cacheField>
    <cacheField name=" Amount to credit " numFmtId="0">
      <sharedItems containsSemiMixedTypes="0" containsString="0" containsNumber="1" minValue="0" maxValue="1869.12" count="275">
        <n v="333.63"/>
        <n v="535.59"/>
        <n v="167.31"/>
        <n v="1360.26"/>
        <n v="1206.81"/>
        <n v="766.26"/>
        <n v="1419.66"/>
        <n v="1218.69"/>
        <n v="1243.44"/>
        <n v="796.95"/>
        <n v="600.93"/>
        <n v="838.53"/>
        <n v="1014.75"/>
        <n v="1185.03"/>
        <n v="680.13"/>
        <n v="861.3"/>
        <n v="779.13"/>
        <n v="385.11"/>
        <n v="502.92"/>
        <n v="602.91"/>
        <n v="519.75"/>
        <n v="388.08"/>
        <n v="269.28"/>
        <n v="50.49"/>
        <n v="190.08"/>
        <n v="235.62"/>
        <n v="351.45"/>
        <n v="277.2"/>
        <n v="263.34"/>
        <n v="33.66"/>
        <n v="328.68"/>
        <n v="437.58"/>
        <n v="402.93"/>
        <n v="636.57"/>
        <n v="916.74"/>
        <n v="1298.88"/>
        <n v="1869.12"/>
        <n v="1760.22"/>
        <n v="1833.48"/>
        <n v="1534.5"/>
        <n v="1535.49"/>
        <n v="1156.32"/>
        <n v="0"/>
        <n v="920.7"/>
        <n v="982.08"/>
        <n v="874.17"/>
        <n v="1432.53"/>
        <n v="1231.56"/>
        <n v="1048.41"/>
        <n v="512.82"/>
        <n v="857.34"/>
        <n v="209.88"/>
        <n v="896.94"/>
        <n v="853.38"/>
        <n v="659.34"/>
        <n v="528.66"/>
        <n v="626.67"/>
        <n v="501.93"/>
        <n v="395.01"/>
        <n v="722.7"/>
        <n v="646.47"/>
        <n v="655.38"/>
        <n v="618.75"/>
        <n v="604.89"/>
        <n v="839.52"/>
        <n v="1099.89"/>
        <n v="690.03"/>
        <n v="16.83"/>
        <n v="293.04"/>
        <n v="772.2"/>
        <n v="1066.23"/>
        <n v="725.67"/>
        <n v="863.28"/>
        <n v="611.82"/>
        <n v="478.17"/>
        <n v="745.47"/>
        <n v="1178.1"/>
        <n v="1019.7"/>
        <n v="1359.27"/>
        <n v="709.83"/>
        <n v="980.1"/>
        <n v="1022.67"/>
        <n v="663.3"/>
        <n v="553.41"/>
        <n v="671.22"/>
        <n v="301.95"/>
        <n v="335.61"/>
        <n v="361.35"/>
        <n v="469.26"/>
        <n v="100.98"/>
        <n v="225.72"/>
        <n v="389.07"/>
        <n v="375.21"/>
        <n v="399.96"/>
        <n v="239.58"/>
        <n v="213.84"/>
        <n v="87.12"/>
        <n v="572.22"/>
        <n v="693"/>
        <n v="332.64"/>
        <n v="1591.92"/>
        <n v="1492.92"/>
        <n v="1667.16"/>
        <n v="1486.98"/>
        <n v="1122.66"/>
        <n v="427.68"/>
        <n v="1499.85"/>
        <n v="653.4"/>
        <n v="1199.88"/>
        <n v="1610.73"/>
        <n v="1340.46"/>
        <n v="285.12"/>
        <n v="401.94"/>
        <n v="525.69"/>
        <n v="281.16"/>
        <n v="627.66"/>
        <n v="327.69"/>
        <n v="470.25"/>
        <n v="318.78"/>
        <n v="243.54"/>
        <n v="317.79"/>
        <n v="234.63"/>
        <n v="393.03"/>
        <n v="476.19"/>
        <n v="462.33"/>
        <n v="138.6"/>
        <n v="450.45"/>
        <n v="394.02"/>
        <n v="168.3"/>
        <n v="529.65"/>
        <n v="201.96"/>
        <n v="226.71"/>
        <n v="538.56"/>
        <n v="679.14"/>
        <n v="405.9"/>
        <n v="687.06"/>
        <n v="750.42"/>
        <n v="558.36"/>
        <n v="420.75"/>
        <n v="260.37"/>
        <n v="570.24"/>
        <n v="720.72"/>
        <n v="518.76"/>
        <n v="819.72"/>
        <n v="825.66"/>
        <n v="557.37"/>
        <n v="216.81"/>
        <n v="75.24"/>
        <n v="495.99"/>
        <n v="644.49"/>
        <n v="770.22"/>
        <n v="603.9"/>
        <n v="946.44"/>
        <n v="283.14"/>
        <n v="436.59"/>
        <n v="404.91"/>
        <n v="397.98"/>
        <n v="596.97"/>
        <n v="582.12"/>
        <n v="735.57"/>
        <n v="614.79"/>
        <n v="990"/>
        <n v="485.1"/>
        <n v="651.42"/>
        <n v="625.68"/>
        <n v="506.88"/>
        <n v="661.32"/>
        <n v="795.96"/>
        <n v="706.86"/>
        <n v="1465.2"/>
        <n v="1354.32"/>
        <n v="1201.86"/>
        <n v="1197.9"/>
        <n v="879.12"/>
        <n v="1193.94"/>
        <n v="1005.84"/>
        <n v="829.62"/>
        <n v="338.58"/>
        <n v="710.82"/>
        <n v="1209.78"/>
        <n v="1378.08"/>
        <n v="649.44"/>
        <n v="1172.16"/>
        <n v="1227.6"/>
        <n v="1443.42"/>
        <n v="1470.15"/>
        <n v="995.94"/>
        <n v="428.67"/>
        <n v="962.28"/>
        <n v="821.7"/>
        <n v="1190.97"/>
        <n v="1433.52"/>
        <n v="84.15"/>
        <n v="218.79"/>
        <n v="134.64"/>
        <n v="756.36"/>
        <n v="798.93"/>
        <n v="854.37"/>
        <n v="353.43"/>
        <n v="944.46"/>
        <n v="855.36"/>
        <n v="343.53"/>
        <n v="306.9"/>
        <n v="457.38"/>
        <n v="510.84"/>
        <n v="550.44"/>
        <n v="324.72"/>
        <n v="152.46"/>
        <n v="794.97"/>
        <n v="781.11"/>
        <n v="1038.51"/>
        <n v="578.16"/>
        <n v="537.57"/>
        <n v="656.37"/>
        <n v="846.45"/>
        <n v="575.19"/>
        <n v="526.68"/>
        <n v="41.58"/>
        <n v="159.39"/>
        <n v="251.46"/>
        <n v="865.26"/>
        <n v="1134.54"/>
        <n v="862.29"/>
        <n v="989.01"/>
        <n v="1469.16"/>
        <n v="488.07"/>
        <n v="297"/>
        <n v="451.44"/>
        <n v="601.92"/>
        <n v="461.34"/>
        <n v="321.75"/>
        <n v="150.48"/>
        <n v="276.21"/>
        <n v="336.6"/>
        <n v="496.98"/>
        <n v="937.53"/>
        <n v="278.19"/>
        <n v="350.46"/>
        <n v="334.62"/>
        <n v="633.6"/>
        <n v="694.98"/>
        <n v="704.88"/>
        <n v="767.25"/>
        <n v="292.05"/>
        <n v="400.95"/>
        <n v="587.07"/>
        <n v="206.91"/>
        <n v="326.7"/>
        <n v="108.9"/>
        <n v="309.87"/>
        <n v="378.18"/>
        <n v="453.42"/>
        <n v="586.08"/>
        <n v="454.41"/>
        <n v="523.71"/>
        <n v="790.02"/>
        <n v="595.98"/>
        <n v="261.36"/>
        <n v="117.81"/>
        <n v="948.42"/>
        <n v="1058.31"/>
        <n v="973.17"/>
        <n v="764.28"/>
        <n v="275.22"/>
        <n v="252.45"/>
        <n v="284.13"/>
        <n v="370.26"/>
        <n v="268.29"/>
        <n v="761.31"/>
        <n v="885.06"/>
        <n v="294.03"/>
        <n v="141.57"/>
        <n v="203.94"/>
        <n v="342.54"/>
        <n v="532.62"/>
      </sharedItems>
    </cacheField>
    <cacheField name="Date Range" numFmtId="0">
      <sharedItems count="1">
        <s v="05-08-24 TO 11-08-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1"/>
    <x v="0"/>
    <x v="0"/>
    <x v="0"/>
    <x v="0"/>
    <x v="0"/>
    <x v="0"/>
    <x v="1"/>
    <x v="0"/>
    <x v="0"/>
    <x v="0"/>
    <x v="1"/>
    <x v="1"/>
    <x v="1"/>
    <x v="0"/>
  </r>
  <r>
    <x v="0"/>
    <x v="2"/>
    <x v="0"/>
    <x v="0"/>
    <x v="0"/>
    <x v="2"/>
    <x v="0"/>
    <x v="1"/>
    <x v="0"/>
    <x v="0"/>
    <x v="0"/>
    <x v="0"/>
    <x v="2"/>
    <x v="0"/>
    <x v="1"/>
    <x v="0"/>
    <x v="2"/>
    <x v="2"/>
    <x v="2"/>
    <x v="0"/>
  </r>
  <r>
    <x v="1"/>
    <x v="3"/>
    <x v="1"/>
    <x v="1"/>
    <x v="0"/>
    <x v="3"/>
    <x v="1"/>
    <x v="2"/>
    <x v="0"/>
    <x v="0"/>
    <x v="0"/>
    <x v="0"/>
    <x v="3"/>
    <x v="1"/>
    <x v="2"/>
    <x v="0"/>
    <x v="3"/>
    <x v="3"/>
    <x v="3"/>
    <x v="0"/>
  </r>
  <r>
    <x v="1"/>
    <x v="0"/>
    <x v="1"/>
    <x v="1"/>
    <x v="0"/>
    <x v="4"/>
    <x v="2"/>
    <x v="3"/>
    <x v="0"/>
    <x v="0"/>
    <x v="0"/>
    <x v="0"/>
    <x v="4"/>
    <x v="2"/>
    <x v="3"/>
    <x v="0"/>
    <x v="4"/>
    <x v="4"/>
    <x v="4"/>
    <x v="0"/>
  </r>
  <r>
    <x v="1"/>
    <x v="1"/>
    <x v="1"/>
    <x v="1"/>
    <x v="0"/>
    <x v="5"/>
    <x v="3"/>
    <x v="0"/>
    <x v="0"/>
    <x v="0"/>
    <x v="0"/>
    <x v="0"/>
    <x v="5"/>
    <x v="3"/>
    <x v="0"/>
    <x v="0"/>
    <x v="5"/>
    <x v="5"/>
    <x v="5"/>
    <x v="0"/>
  </r>
  <r>
    <x v="1"/>
    <x v="2"/>
    <x v="1"/>
    <x v="1"/>
    <x v="0"/>
    <x v="6"/>
    <x v="2"/>
    <x v="4"/>
    <x v="0"/>
    <x v="0"/>
    <x v="0"/>
    <x v="0"/>
    <x v="6"/>
    <x v="2"/>
    <x v="4"/>
    <x v="0"/>
    <x v="6"/>
    <x v="6"/>
    <x v="6"/>
    <x v="0"/>
  </r>
  <r>
    <x v="1"/>
    <x v="4"/>
    <x v="1"/>
    <x v="1"/>
    <x v="0"/>
    <x v="1"/>
    <x v="4"/>
    <x v="5"/>
    <x v="0"/>
    <x v="0"/>
    <x v="0"/>
    <x v="0"/>
    <x v="1"/>
    <x v="4"/>
    <x v="5"/>
    <x v="0"/>
    <x v="7"/>
    <x v="7"/>
    <x v="7"/>
    <x v="0"/>
  </r>
  <r>
    <x v="1"/>
    <x v="5"/>
    <x v="1"/>
    <x v="1"/>
    <x v="0"/>
    <x v="7"/>
    <x v="5"/>
    <x v="2"/>
    <x v="0"/>
    <x v="0"/>
    <x v="0"/>
    <x v="0"/>
    <x v="7"/>
    <x v="5"/>
    <x v="2"/>
    <x v="0"/>
    <x v="8"/>
    <x v="8"/>
    <x v="8"/>
    <x v="0"/>
  </r>
  <r>
    <x v="2"/>
    <x v="6"/>
    <x v="2"/>
    <x v="2"/>
    <x v="0"/>
    <x v="8"/>
    <x v="0"/>
    <x v="3"/>
    <x v="0"/>
    <x v="0"/>
    <x v="0"/>
    <x v="0"/>
    <x v="8"/>
    <x v="0"/>
    <x v="3"/>
    <x v="0"/>
    <x v="9"/>
    <x v="9"/>
    <x v="9"/>
    <x v="0"/>
  </r>
  <r>
    <x v="2"/>
    <x v="2"/>
    <x v="2"/>
    <x v="2"/>
    <x v="0"/>
    <x v="9"/>
    <x v="6"/>
    <x v="6"/>
    <x v="0"/>
    <x v="0"/>
    <x v="0"/>
    <x v="0"/>
    <x v="9"/>
    <x v="6"/>
    <x v="6"/>
    <x v="0"/>
    <x v="10"/>
    <x v="10"/>
    <x v="10"/>
    <x v="0"/>
  </r>
  <r>
    <x v="3"/>
    <x v="6"/>
    <x v="3"/>
    <x v="3"/>
    <x v="1"/>
    <x v="10"/>
    <x v="0"/>
    <x v="0"/>
    <x v="0"/>
    <x v="0"/>
    <x v="0"/>
    <x v="0"/>
    <x v="10"/>
    <x v="0"/>
    <x v="0"/>
    <x v="0"/>
    <x v="11"/>
    <x v="11"/>
    <x v="11"/>
    <x v="0"/>
  </r>
  <r>
    <x v="3"/>
    <x v="0"/>
    <x v="3"/>
    <x v="3"/>
    <x v="1"/>
    <x v="11"/>
    <x v="0"/>
    <x v="7"/>
    <x v="0"/>
    <x v="0"/>
    <x v="0"/>
    <x v="0"/>
    <x v="11"/>
    <x v="0"/>
    <x v="7"/>
    <x v="0"/>
    <x v="12"/>
    <x v="12"/>
    <x v="12"/>
    <x v="0"/>
  </r>
  <r>
    <x v="3"/>
    <x v="1"/>
    <x v="3"/>
    <x v="3"/>
    <x v="1"/>
    <x v="12"/>
    <x v="7"/>
    <x v="0"/>
    <x v="0"/>
    <x v="0"/>
    <x v="0"/>
    <x v="0"/>
    <x v="12"/>
    <x v="7"/>
    <x v="0"/>
    <x v="0"/>
    <x v="13"/>
    <x v="13"/>
    <x v="13"/>
    <x v="0"/>
  </r>
  <r>
    <x v="3"/>
    <x v="2"/>
    <x v="3"/>
    <x v="3"/>
    <x v="1"/>
    <x v="13"/>
    <x v="0"/>
    <x v="8"/>
    <x v="0"/>
    <x v="0"/>
    <x v="0"/>
    <x v="0"/>
    <x v="13"/>
    <x v="0"/>
    <x v="8"/>
    <x v="0"/>
    <x v="14"/>
    <x v="14"/>
    <x v="14"/>
    <x v="0"/>
  </r>
  <r>
    <x v="3"/>
    <x v="4"/>
    <x v="3"/>
    <x v="3"/>
    <x v="1"/>
    <x v="14"/>
    <x v="0"/>
    <x v="9"/>
    <x v="0"/>
    <x v="0"/>
    <x v="0"/>
    <x v="0"/>
    <x v="14"/>
    <x v="0"/>
    <x v="9"/>
    <x v="0"/>
    <x v="15"/>
    <x v="15"/>
    <x v="15"/>
    <x v="0"/>
  </r>
  <r>
    <x v="3"/>
    <x v="5"/>
    <x v="3"/>
    <x v="3"/>
    <x v="1"/>
    <x v="12"/>
    <x v="0"/>
    <x v="7"/>
    <x v="0"/>
    <x v="0"/>
    <x v="0"/>
    <x v="0"/>
    <x v="12"/>
    <x v="0"/>
    <x v="7"/>
    <x v="0"/>
    <x v="16"/>
    <x v="16"/>
    <x v="16"/>
    <x v="0"/>
  </r>
  <r>
    <x v="4"/>
    <x v="0"/>
    <x v="4"/>
    <x v="4"/>
    <x v="0"/>
    <x v="9"/>
    <x v="0"/>
    <x v="10"/>
    <x v="0"/>
    <x v="0"/>
    <x v="0"/>
    <x v="0"/>
    <x v="9"/>
    <x v="0"/>
    <x v="10"/>
    <x v="0"/>
    <x v="17"/>
    <x v="17"/>
    <x v="17"/>
    <x v="0"/>
  </r>
  <r>
    <x v="4"/>
    <x v="1"/>
    <x v="4"/>
    <x v="4"/>
    <x v="0"/>
    <x v="15"/>
    <x v="0"/>
    <x v="10"/>
    <x v="0"/>
    <x v="0"/>
    <x v="0"/>
    <x v="0"/>
    <x v="15"/>
    <x v="0"/>
    <x v="10"/>
    <x v="0"/>
    <x v="18"/>
    <x v="18"/>
    <x v="18"/>
    <x v="0"/>
  </r>
  <r>
    <x v="4"/>
    <x v="2"/>
    <x v="4"/>
    <x v="4"/>
    <x v="0"/>
    <x v="16"/>
    <x v="0"/>
    <x v="0"/>
    <x v="0"/>
    <x v="0"/>
    <x v="0"/>
    <x v="0"/>
    <x v="16"/>
    <x v="0"/>
    <x v="0"/>
    <x v="0"/>
    <x v="19"/>
    <x v="19"/>
    <x v="19"/>
    <x v="0"/>
  </r>
  <r>
    <x v="4"/>
    <x v="5"/>
    <x v="4"/>
    <x v="4"/>
    <x v="0"/>
    <x v="1"/>
    <x v="0"/>
    <x v="10"/>
    <x v="0"/>
    <x v="0"/>
    <x v="0"/>
    <x v="0"/>
    <x v="1"/>
    <x v="0"/>
    <x v="10"/>
    <x v="0"/>
    <x v="20"/>
    <x v="20"/>
    <x v="20"/>
    <x v="0"/>
  </r>
  <r>
    <x v="5"/>
    <x v="6"/>
    <x v="5"/>
    <x v="1"/>
    <x v="0"/>
    <x v="17"/>
    <x v="3"/>
    <x v="3"/>
    <x v="0"/>
    <x v="0"/>
    <x v="0"/>
    <x v="0"/>
    <x v="17"/>
    <x v="3"/>
    <x v="3"/>
    <x v="0"/>
    <x v="21"/>
    <x v="21"/>
    <x v="21"/>
    <x v="0"/>
  </r>
  <r>
    <x v="5"/>
    <x v="3"/>
    <x v="5"/>
    <x v="1"/>
    <x v="0"/>
    <x v="17"/>
    <x v="8"/>
    <x v="6"/>
    <x v="0"/>
    <x v="0"/>
    <x v="0"/>
    <x v="0"/>
    <x v="17"/>
    <x v="8"/>
    <x v="6"/>
    <x v="0"/>
    <x v="22"/>
    <x v="22"/>
    <x v="22"/>
    <x v="0"/>
  </r>
  <r>
    <x v="5"/>
    <x v="0"/>
    <x v="5"/>
    <x v="1"/>
    <x v="0"/>
    <x v="18"/>
    <x v="0"/>
    <x v="11"/>
    <x v="0"/>
    <x v="0"/>
    <x v="0"/>
    <x v="0"/>
    <x v="18"/>
    <x v="0"/>
    <x v="11"/>
    <x v="0"/>
    <x v="23"/>
    <x v="23"/>
    <x v="23"/>
    <x v="0"/>
  </r>
  <r>
    <x v="5"/>
    <x v="1"/>
    <x v="5"/>
    <x v="1"/>
    <x v="0"/>
    <x v="17"/>
    <x v="9"/>
    <x v="1"/>
    <x v="0"/>
    <x v="0"/>
    <x v="0"/>
    <x v="0"/>
    <x v="17"/>
    <x v="9"/>
    <x v="1"/>
    <x v="0"/>
    <x v="24"/>
    <x v="24"/>
    <x v="24"/>
    <x v="0"/>
  </r>
  <r>
    <x v="5"/>
    <x v="2"/>
    <x v="5"/>
    <x v="1"/>
    <x v="0"/>
    <x v="17"/>
    <x v="10"/>
    <x v="3"/>
    <x v="0"/>
    <x v="0"/>
    <x v="0"/>
    <x v="0"/>
    <x v="17"/>
    <x v="10"/>
    <x v="3"/>
    <x v="0"/>
    <x v="25"/>
    <x v="25"/>
    <x v="25"/>
    <x v="0"/>
  </r>
  <r>
    <x v="5"/>
    <x v="4"/>
    <x v="5"/>
    <x v="1"/>
    <x v="0"/>
    <x v="19"/>
    <x v="11"/>
    <x v="6"/>
    <x v="0"/>
    <x v="0"/>
    <x v="0"/>
    <x v="0"/>
    <x v="19"/>
    <x v="11"/>
    <x v="6"/>
    <x v="0"/>
    <x v="26"/>
    <x v="26"/>
    <x v="26"/>
    <x v="0"/>
  </r>
  <r>
    <x v="5"/>
    <x v="5"/>
    <x v="5"/>
    <x v="1"/>
    <x v="0"/>
    <x v="17"/>
    <x v="8"/>
    <x v="1"/>
    <x v="0"/>
    <x v="0"/>
    <x v="0"/>
    <x v="0"/>
    <x v="17"/>
    <x v="8"/>
    <x v="1"/>
    <x v="0"/>
    <x v="27"/>
    <x v="27"/>
    <x v="27"/>
    <x v="0"/>
  </r>
  <r>
    <x v="6"/>
    <x v="6"/>
    <x v="6"/>
    <x v="5"/>
    <x v="0"/>
    <x v="17"/>
    <x v="6"/>
    <x v="8"/>
    <x v="0"/>
    <x v="0"/>
    <x v="0"/>
    <x v="0"/>
    <x v="17"/>
    <x v="6"/>
    <x v="8"/>
    <x v="0"/>
    <x v="28"/>
    <x v="28"/>
    <x v="28"/>
    <x v="0"/>
  </r>
  <r>
    <x v="6"/>
    <x v="3"/>
    <x v="6"/>
    <x v="5"/>
    <x v="0"/>
    <x v="20"/>
    <x v="0"/>
    <x v="11"/>
    <x v="0"/>
    <x v="0"/>
    <x v="0"/>
    <x v="0"/>
    <x v="20"/>
    <x v="0"/>
    <x v="11"/>
    <x v="0"/>
    <x v="29"/>
    <x v="29"/>
    <x v="29"/>
    <x v="0"/>
  </r>
  <r>
    <x v="6"/>
    <x v="0"/>
    <x v="6"/>
    <x v="5"/>
    <x v="0"/>
    <x v="21"/>
    <x v="12"/>
    <x v="6"/>
    <x v="0"/>
    <x v="0"/>
    <x v="0"/>
    <x v="0"/>
    <x v="21"/>
    <x v="12"/>
    <x v="6"/>
    <x v="0"/>
    <x v="30"/>
    <x v="30"/>
    <x v="30"/>
    <x v="0"/>
  </r>
  <r>
    <x v="6"/>
    <x v="1"/>
    <x v="6"/>
    <x v="5"/>
    <x v="0"/>
    <x v="22"/>
    <x v="0"/>
    <x v="11"/>
    <x v="0"/>
    <x v="0"/>
    <x v="0"/>
    <x v="0"/>
    <x v="22"/>
    <x v="0"/>
    <x v="11"/>
    <x v="0"/>
    <x v="31"/>
    <x v="31"/>
    <x v="31"/>
    <x v="0"/>
  </r>
  <r>
    <x v="6"/>
    <x v="2"/>
    <x v="6"/>
    <x v="5"/>
    <x v="0"/>
    <x v="23"/>
    <x v="0"/>
    <x v="1"/>
    <x v="0"/>
    <x v="0"/>
    <x v="0"/>
    <x v="0"/>
    <x v="23"/>
    <x v="0"/>
    <x v="1"/>
    <x v="0"/>
    <x v="32"/>
    <x v="32"/>
    <x v="32"/>
    <x v="0"/>
  </r>
  <r>
    <x v="6"/>
    <x v="4"/>
    <x v="6"/>
    <x v="5"/>
    <x v="0"/>
    <x v="23"/>
    <x v="13"/>
    <x v="10"/>
    <x v="0"/>
    <x v="0"/>
    <x v="0"/>
    <x v="0"/>
    <x v="23"/>
    <x v="13"/>
    <x v="10"/>
    <x v="0"/>
    <x v="33"/>
    <x v="33"/>
    <x v="33"/>
    <x v="0"/>
  </r>
  <r>
    <x v="7"/>
    <x v="6"/>
    <x v="7"/>
    <x v="6"/>
    <x v="0"/>
    <x v="10"/>
    <x v="0"/>
    <x v="12"/>
    <x v="0"/>
    <x v="1"/>
    <x v="0"/>
    <x v="0"/>
    <x v="24"/>
    <x v="0"/>
    <x v="12"/>
    <x v="0"/>
    <x v="34"/>
    <x v="34"/>
    <x v="34"/>
    <x v="0"/>
  </r>
  <r>
    <x v="7"/>
    <x v="3"/>
    <x v="7"/>
    <x v="6"/>
    <x v="0"/>
    <x v="24"/>
    <x v="0"/>
    <x v="9"/>
    <x v="0"/>
    <x v="1"/>
    <x v="0"/>
    <x v="0"/>
    <x v="25"/>
    <x v="0"/>
    <x v="9"/>
    <x v="0"/>
    <x v="35"/>
    <x v="35"/>
    <x v="35"/>
    <x v="0"/>
  </r>
  <r>
    <x v="7"/>
    <x v="1"/>
    <x v="7"/>
    <x v="6"/>
    <x v="0"/>
    <x v="25"/>
    <x v="4"/>
    <x v="13"/>
    <x v="0"/>
    <x v="1"/>
    <x v="0"/>
    <x v="0"/>
    <x v="26"/>
    <x v="4"/>
    <x v="13"/>
    <x v="0"/>
    <x v="36"/>
    <x v="36"/>
    <x v="36"/>
    <x v="0"/>
  </r>
  <r>
    <x v="7"/>
    <x v="2"/>
    <x v="7"/>
    <x v="6"/>
    <x v="0"/>
    <x v="26"/>
    <x v="14"/>
    <x v="2"/>
    <x v="0"/>
    <x v="1"/>
    <x v="0"/>
    <x v="0"/>
    <x v="27"/>
    <x v="14"/>
    <x v="2"/>
    <x v="0"/>
    <x v="37"/>
    <x v="37"/>
    <x v="37"/>
    <x v="0"/>
  </r>
  <r>
    <x v="7"/>
    <x v="4"/>
    <x v="7"/>
    <x v="6"/>
    <x v="0"/>
    <x v="27"/>
    <x v="5"/>
    <x v="0"/>
    <x v="0"/>
    <x v="1"/>
    <x v="0"/>
    <x v="0"/>
    <x v="28"/>
    <x v="5"/>
    <x v="0"/>
    <x v="0"/>
    <x v="38"/>
    <x v="38"/>
    <x v="38"/>
    <x v="0"/>
  </r>
  <r>
    <x v="7"/>
    <x v="5"/>
    <x v="7"/>
    <x v="6"/>
    <x v="0"/>
    <x v="28"/>
    <x v="3"/>
    <x v="14"/>
    <x v="0"/>
    <x v="1"/>
    <x v="0"/>
    <x v="0"/>
    <x v="29"/>
    <x v="3"/>
    <x v="14"/>
    <x v="0"/>
    <x v="39"/>
    <x v="39"/>
    <x v="39"/>
    <x v="0"/>
  </r>
  <r>
    <x v="8"/>
    <x v="6"/>
    <x v="8"/>
    <x v="7"/>
    <x v="2"/>
    <x v="29"/>
    <x v="0"/>
    <x v="15"/>
    <x v="0"/>
    <x v="0"/>
    <x v="0"/>
    <x v="0"/>
    <x v="30"/>
    <x v="0"/>
    <x v="15"/>
    <x v="0"/>
    <x v="40"/>
    <x v="40"/>
    <x v="40"/>
    <x v="0"/>
  </r>
  <r>
    <x v="8"/>
    <x v="3"/>
    <x v="8"/>
    <x v="7"/>
    <x v="2"/>
    <x v="30"/>
    <x v="0"/>
    <x v="12"/>
    <x v="0"/>
    <x v="0"/>
    <x v="0"/>
    <x v="0"/>
    <x v="31"/>
    <x v="0"/>
    <x v="12"/>
    <x v="0"/>
    <x v="41"/>
    <x v="41"/>
    <x v="41"/>
    <x v="0"/>
  </r>
  <r>
    <x v="8"/>
    <x v="0"/>
    <x v="8"/>
    <x v="7"/>
    <x v="2"/>
    <x v="17"/>
    <x v="0"/>
    <x v="11"/>
    <x v="0"/>
    <x v="0"/>
    <x v="0"/>
    <x v="0"/>
    <x v="17"/>
    <x v="0"/>
    <x v="11"/>
    <x v="0"/>
    <x v="42"/>
    <x v="42"/>
    <x v="42"/>
    <x v="0"/>
  </r>
  <r>
    <x v="8"/>
    <x v="1"/>
    <x v="8"/>
    <x v="7"/>
    <x v="2"/>
    <x v="31"/>
    <x v="0"/>
    <x v="12"/>
    <x v="0"/>
    <x v="0"/>
    <x v="0"/>
    <x v="0"/>
    <x v="32"/>
    <x v="0"/>
    <x v="12"/>
    <x v="0"/>
    <x v="43"/>
    <x v="43"/>
    <x v="43"/>
    <x v="0"/>
  </r>
  <r>
    <x v="8"/>
    <x v="2"/>
    <x v="8"/>
    <x v="7"/>
    <x v="2"/>
    <x v="32"/>
    <x v="0"/>
    <x v="3"/>
    <x v="0"/>
    <x v="0"/>
    <x v="0"/>
    <x v="0"/>
    <x v="33"/>
    <x v="0"/>
    <x v="3"/>
    <x v="0"/>
    <x v="44"/>
    <x v="44"/>
    <x v="44"/>
    <x v="0"/>
  </r>
  <r>
    <x v="8"/>
    <x v="4"/>
    <x v="8"/>
    <x v="7"/>
    <x v="2"/>
    <x v="33"/>
    <x v="0"/>
    <x v="1"/>
    <x v="0"/>
    <x v="0"/>
    <x v="0"/>
    <x v="0"/>
    <x v="34"/>
    <x v="0"/>
    <x v="1"/>
    <x v="0"/>
    <x v="45"/>
    <x v="45"/>
    <x v="45"/>
    <x v="0"/>
  </r>
  <r>
    <x v="9"/>
    <x v="6"/>
    <x v="9"/>
    <x v="8"/>
    <x v="0"/>
    <x v="29"/>
    <x v="0"/>
    <x v="13"/>
    <x v="0"/>
    <x v="0"/>
    <x v="0"/>
    <x v="0"/>
    <x v="30"/>
    <x v="0"/>
    <x v="13"/>
    <x v="0"/>
    <x v="46"/>
    <x v="46"/>
    <x v="46"/>
    <x v="0"/>
  </r>
  <r>
    <x v="9"/>
    <x v="3"/>
    <x v="9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9"/>
    <x v="0"/>
    <x v="9"/>
    <x v="8"/>
    <x v="0"/>
    <x v="24"/>
    <x v="0"/>
    <x v="9"/>
    <x v="0"/>
    <x v="0"/>
    <x v="0"/>
    <x v="0"/>
    <x v="35"/>
    <x v="0"/>
    <x v="9"/>
    <x v="0"/>
    <x v="47"/>
    <x v="47"/>
    <x v="47"/>
    <x v="0"/>
  </r>
  <r>
    <x v="9"/>
    <x v="1"/>
    <x v="9"/>
    <x v="8"/>
    <x v="0"/>
    <x v="10"/>
    <x v="0"/>
    <x v="0"/>
    <x v="0"/>
    <x v="0"/>
    <x v="0"/>
    <x v="0"/>
    <x v="10"/>
    <x v="0"/>
    <x v="0"/>
    <x v="0"/>
    <x v="11"/>
    <x v="11"/>
    <x v="11"/>
    <x v="0"/>
  </r>
  <r>
    <x v="9"/>
    <x v="2"/>
    <x v="9"/>
    <x v="8"/>
    <x v="0"/>
    <x v="34"/>
    <x v="0"/>
    <x v="7"/>
    <x v="0"/>
    <x v="0"/>
    <x v="0"/>
    <x v="0"/>
    <x v="36"/>
    <x v="0"/>
    <x v="7"/>
    <x v="0"/>
    <x v="48"/>
    <x v="48"/>
    <x v="48"/>
    <x v="0"/>
  </r>
  <r>
    <x v="9"/>
    <x v="4"/>
    <x v="9"/>
    <x v="8"/>
    <x v="0"/>
    <x v="35"/>
    <x v="0"/>
    <x v="6"/>
    <x v="0"/>
    <x v="0"/>
    <x v="0"/>
    <x v="0"/>
    <x v="37"/>
    <x v="0"/>
    <x v="6"/>
    <x v="0"/>
    <x v="49"/>
    <x v="49"/>
    <x v="49"/>
    <x v="0"/>
  </r>
  <r>
    <x v="9"/>
    <x v="5"/>
    <x v="9"/>
    <x v="8"/>
    <x v="0"/>
    <x v="31"/>
    <x v="0"/>
    <x v="1"/>
    <x v="0"/>
    <x v="0"/>
    <x v="0"/>
    <x v="0"/>
    <x v="32"/>
    <x v="0"/>
    <x v="1"/>
    <x v="0"/>
    <x v="50"/>
    <x v="50"/>
    <x v="50"/>
    <x v="0"/>
  </r>
  <r>
    <x v="10"/>
    <x v="6"/>
    <x v="10"/>
    <x v="6"/>
    <x v="0"/>
    <x v="36"/>
    <x v="0"/>
    <x v="6"/>
    <x v="0"/>
    <x v="0"/>
    <x v="0"/>
    <x v="0"/>
    <x v="38"/>
    <x v="0"/>
    <x v="6"/>
    <x v="0"/>
    <x v="51"/>
    <x v="51"/>
    <x v="51"/>
    <x v="0"/>
  </r>
  <r>
    <x v="11"/>
    <x v="6"/>
    <x v="11"/>
    <x v="9"/>
    <x v="0"/>
    <x v="31"/>
    <x v="0"/>
    <x v="7"/>
    <x v="0"/>
    <x v="0"/>
    <x v="0"/>
    <x v="0"/>
    <x v="32"/>
    <x v="0"/>
    <x v="7"/>
    <x v="0"/>
    <x v="52"/>
    <x v="52"/>
    <x v="52"/>
    <x v="0"/>
  </r>
  <r>
    <x v="11"/>
    <x v="3"/>
    <x v="11"/>
    <x v="9"/>
    <x v="0"/>
    <x v="14"/>
    <x v="0"/>
    <x v="12"/>
    <x v="0"/>
    <x v="0"/>
    <x v="0"/>
    <x v="0"/>
    <x v="14"/>
    <x v="0"/>
    <x v="12"/>
    <x v="0"/>
    <x v="53"/>
    <x v="53"/>
    <x v="53"/>
    <x v="0"/>
  </r>
  <r>
    <x v="11"/>
    <x v="0"/>
    <x v="11"/>
    <x v="9"/>
    <x v="0"/>
    <x v="37"/>
    <x v="0"/>
    <x v="9"/>
    <x v="0"/>
    <x v="0"/>
    <x v="0"/>
    <x v="0"/>
    <x v="39"/>
    <x v="0"/>
    <x v="9"/>
    <x v="0"/>
    <x v="54"/>
    <x v="54"/>
    <x v="54"/>
    <x v="0"/>
  </r>
  <r>
    <x v="11"/>
    <x v="1"/>
    <x v="11"/>
    <x v="9"/>
    <x v="0"/>
    <x v="35"/>
    <x v="0"/>
    <x v="8"/>
    <x v="0"/>
    <x v="0"/>
    <x v="0"/>
    <x v="0"/>
    <x v="37"/>
    <x v="0"/>
    <x v="8"/>
    <x v="0"/>
    <x v="55"/>
    <x v="55"/>
    <x v="55"/>
    <x v="0"/>
  </r>
  <r>
    <x v="11"/>
    <x v="2"/>
    <x v="11"/>
    <x v="9"/>
    <x v="0"/>
    <x v="16"/>
    <x v="0"/>
    <x v="16"/>
    <x v="0"/>
    <x v="0"/>
    <x v="0"/>
    <x v="0"/>
    <x v="16"/>
    <x v="0"/>
    <x v="16"/>
    <x v="0"/>
    <x v="56"/>
    <x v="56"/>
    <x v="56"/>
    <x v="0"/>
  </r>
  <r>
    <x v="11"/>
    <x v="4"/>
    <x v="11"/>
    <x v="9"/>
    <x v="0"/>
    <x v="38"/>
    <x v="0"/>
    <x v="0"/>
    <x v="0"/>
    <x v="0"/>
    <x v="0"/>
    <x v="0"/>
    <x v="40"/>
    <x v="0"/>
    <x v="0"/>
    <x v="0"/>
    <x v="33"/>
    <x v="33"/>
    <x v="33"/>
    <x v="0"/>
  </r>
  <r>
    <x v="11"/>
    <x v="5"/>
    <x v="11"/>
    <x v="9"/>
    <x v="0"/>
    <x v="17"/>
    <x v="0"/>
    <x v="11"/>
    <x v="0"/>
    <x v="0"/>
    <x v="0"/>
    <x v="0"/>
    <x v="17"/>
    <x v="0"/>
    <x v="11"/>
    <x v="0"/>
    <x v="42"/>
    <x v="42"/>
    <x v="42"/>
    <x v="0"/>
  </r>
  <r>
    <x v="12"/>
    <x v="6"/>
    <x v="12"/>
    <x v="8"/>
    <x v="0"/>
    <x v="39"/>
    <x v="0"/>
    <x v="0"/>
    <x v="0"/>
    <x v="0"/>
    <x v="0"/>
    <x v="0"/>
    <x v="41"/>
    <x v="0"/>
    <x v="0"/>
    <x v="0"/>
    <x v="57"/>
    <x v="57"/>
    <x v="57"/>
    <x v="0"/>
  </r>
  <r>
    <x v="12"/>
    <x v="3"/>
    <x v="12"/>
    <x v="8"/>
    <x v="0"/>
    <x v="23"/>
    <x v="0"/>
    <x v="6"/>
    <x v="0"/>
    <x v="0"/>
    <x v="0"/>
    <x v="0"/>
    <x v="23"/>
    <x v="0"/>
    <x v="6"/>
    <x v="0"/>
    <x v="58"/>
    <x v="58"/>
    <x v="58"/>
    <x v="0"/>
  </r>
  <r>
    <x v="12"/>
    <x v="1"/>
    <x v="12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2"/>
    <x v="2"/>
    <x v="12"/>
    <x v="8"/>
    <x v="0"/>
    <x v="4"/>
    <x v="0"/>
    <x v="8"/>
    <x v="0"/>
    <x v="0"/>
    <x v="0"/>
    <x v="0"/>
    <x v="4"/>
    <x v="0"/>
    <x v="8"/>
    <x v="0"/>
    <x v="60"/>
    <x v="60"/>
    <x v="60"/>
    <x v="0"/>
  </r>
  <r>
    <x v="12"/>
    <x v="4"/>
    <x v="12"/>
    <x v="8"/>
    <x v="0"/>
    <x v="41"/>
    <x v="0"/>
    <x v="1"/>
    <x v="0"/>
    <x v="0"/>
    <x v="0"/>
    <x v="0"/>
    <x v="43"/>
    <x v="0"/>
    <x v="1"/>
    <x v="0"/>
    <x v="61"/>
    <x v="61"/>
    <x v="61"/>
    <x v="0"/>
  </r>
  <r>
    <x v="13"/>
    <x v="6"/>
    <x v="13"/>
    <x v="8"/>
    <x v="0"/>
    <x v="16"/>
    <x v="0"/>
    <x v="14"/>
    <x v="0"/>
    <x v="0"/>
    <x v="0"/>
    <x v="0"/>
    <x v="16"/>
    <x v="0"/>
    <x v="14"/>
    <x v="0"/>
    <x v="62"/>
    <x v="62"/>
    <x v="62"/>
    <x v="0"/>
  </r>
  <r>
    <x v="13"/>
    <x v="3"/>
    <x v="13"/>
    <x v="8"/>
    <x v="0"/>
    <x v="38"/>
    <x v="0"/>
    <x v="1"/>
    <x v="0"/>
    <x v="0"/>
    <x v="0"/>
    <x v="0"/>
    <x v="40"/>
    <x v="0"/>
    <x v="1"/>
    <x v="0"/>
    <x v="63"/>
    <x v="63"/>
    <x v="63"/>
    <x v="0"/>
  </r>
  <r>
    <x v="13"/>
    <x v="0"/>
    <x v="13"/>
    <x v="8"/>
    <x v="0"/>
    <x v="3"/>
    <x v="0"/>
    <x v="10"/>
    <x v="0"/>
    <x v="0"/>
    <x v="0"/>
    <x v="0"/>
    <x v="3"/>
    <x v="0"/>
    <x v="10"/>
    <x v="0"/>
    <x v="64"/>
    <x v="64"/>
    <x v="64"/>
    <x v="0"/>
  </r>
  <r>
    <x v="13"/>
    <x v="2"/>
    <x v="13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13"/>
    <x v="4"/>
    <x v="13"/>
    <x v="8"/>
    <x v="0"/>
    <x v="40"/>
    <x v="0"/>
    <x v="1"/>
    <x v="0"/>
    <x v="0"/>
    <x v="0"/>
    <x v="0"/>
    <x v="42"/>
    <x v="0"/>
    <x v="1"/>
    <x v="0"/>
    <x v="59"/>
    <x v="59"/>
    <x v="59"/>
    <x v="0"/>
  </r>
  <r>
    <x v="13"/>
    <x v="5"/>
    <x v="13"/>
    <x v="8"/>
    <x v="0"/>
    <x v="42"/>
    <x v="0"/>
    <x v="11"/>
    <x v="0"/>
    <x v="0"/>
    <x v="0"/>
    <x v="0"/>
    <x v="45"/>
    <x v="0"/>
    <x v="11"/>
    <x v="0"/>
    <x v="66"/>
    <x v="66"/>
    <x v="66"/>
    <x v="0"/>
  </r>
  <r>
    <x v="14"/>
    <x v="6"/>
    <x v="14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15"/>
    <x v="3"/>
    <x v="15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15"/>
    <x v="1"/>
    <x v="15"/>
    <x v="8"/>
    <x v="0"/>
    <x v="43"/>
    <x v="0"/>
    <x v="8"/>
    <x v="0"/>
    <x v="0"/>
    <x v="0"/>
    <x v="0"/>
    <x v="46"/>
    <x v="0"/>
    <x v="8"/>
    <x v="0"/>
    <x v="68"/>
    <x v="68"/>
    <x v="68"/>
    <x v="0"/>
  </r>
  <r>
    <x v="16"/>
    <x v="6"/>
    <x v="16"/>
    <x v="10"/>
    <x v="3"/>
    <x v="6"/>
    <x v="0"/>
    <x v="10"/>
    <x v="0"/>
    <x v="0"/>
    <x v="0"/>
    <x v="0"/>
    <x v="6"/>
    <x v="0"/>
    <x v="10"/>
    <x v="0"/>
    <x v="69"/>
    <x v="69"/>
    <x v="69"/>
    <x v="0"/>
  </r>
  <r>
    <x v="16"/>
    <x v="3"/>
    <x v="16"/>
    <x v="10"/>
    <x v="3"/>
    <x v="8"/>
    <x v="8"/>
    <x v="0"/>
    <x v="0"/>
    <x v="0"/>
    <x v="0"/>
    <x v="0"/>
    <x v="8"/>
    <x v="8"/>
    <x v="0"/>
    <x v="0"/>
    <x v="70"/>
    <x v="70"/>
    <x v="70"/>
    <x v="0"/>
  </r>
  <r>
    <x v="16"/>
    <x v="0"/>
    <x v="16"/>
    <x v="10"/>
    <x v="3"/>
    <x v="1"/>
    <x v="9"/>
    <x v="14"/>
    <x v="0"/>
    <x v="0"/>
    <x v="0"/>
    <x v="0"/>
    <x v="1"/>
    <x v="9"/>
    <x v="14"/>
    <x v="0"/>
    <x v="71"/>
    <x v="71"/>
    <x v="71"/>
    <x v="0"/>
  </r>
  <r>
    <x v="16"/>
    <x v="1"/>
    <x v="16"/>
    <x v="10"/>
    <x v="3"/>
    <x v="37"/>
    <x v="10"/>
    <x v="2"/>
    <x v="0"/>
    <x v="0"/>
    <x v="0"/>
    <x v="0"/>
    <x v="39"/>
    <x v="10"/>
    <x v="2"/>
    <x v="0"/>
    <x v="72"/>
    <x v="72"/>
    <x v="72"/>
    <x v="0"/>
  </r>
  <r>
    <x v="16"/>
    <x v="2"/>
    <x v="16"/>
    <x v="10"/>
    <x v="3"/>
    <x v="37"/>
    <x v="0"/>
    <x v="3"/>
    <x v="0"/>
    <x v="0"/>
    <x v="0"/>
    <x v="0"/>
    <x v="39"/>
    <x v="0"/>
    <x v="3"/>
    <x v="0"/>
    <x v="73"/>
    <x v="73"/>
    <x v="73"/>
    <x v="0"/>
  </r>
  <r>
    <x v="16"/>
    <x v="4"/>
    <x v="16"/>
    <x v="10"/>
    <x v="3"/>
    <x v="39"/>
    <x v="0"/>
    <x v="8"/>
    <x v="0"/>
    <x v="0"/>
    <x v="0"/>
    <x v="0"/>
    <x v="41"/>
    <x v="0"/>
    <x v="8"/>
    <x v="0"/>
    <x v="74"/>
    <x v="74"/>
    <x v="74"/>
    <x v="0"/>
  </r>
  <r>
    <x v="16"/>
    <x v="5"/>
    <x v="16"/>
    <x v="10"/>
    <x v="3"/>
    <x v="42"/>
    <x v="0"/>
    <x v="7"/>
    <x v="0"/>
    <x v="0"/>
    <x v="0"/>
    <x v="0"/>
    <x v="45"/>
    <x v="0"/>
    <x v="7"/>
    <x v="0"/>
    <x v="75"/>
    <x v="75"/>
    <x v="75"/>
    <x v="0"/>
  </r>
  <r>
    <x v="17"/>
    <x v="4"/>
    <x v="17"/>
    <x v="11"/>
    <x v="0"/>
    <x v="17"/>
    <x v="0"/>
    <x v="11"/>
    <x v="0"/>
    <x v="0"/>
    <x v="0"/>
    <x v="0"/>
    <x v="17"/>
    <x v="0"/>
    <x v="11"/>
    <x v="0"/>
    <x v="42"/>
    <x v="42"/>
    <x v="42"/>
    <x v="0"/>
  </r>
  <r>
    <x v="18"/>
    <x v="6"/>
    <x v="18"/>
    <x v="12"/>
    <x v="0"/>
    <x v="37"/>
    <x v="15"/>
    <x v="3"/>
    <x v="0"/>
    <x v="0"/>
    <x v="0"/>
    <x v="0"/>
    <x v="39"/>
    <x v="15"/>
    <x v="3"/>
    <x v="0"/>
    <x v="76"/>
    <x v="76"/>
    <x v="76"/>
    <x v="0"/>
  </r>
  <r>
    <x v="18"/>
    <x v="3"/>
    <x v="18"/>
    <x v="12"/>
    <x v="0"/>
    <x v="44"/>
    <x v="0"/>
    <x v="17"/>
    <x v="0"/>
    <x v="0"/>
    <x v="0"/>
    <x v="0"/>
    <x v="47"/>
    <x v="0"/>
    <x v="17"/>
    <x v="0"/>
    <x v="77"/>
    <x v="77"/>
    <x v="77"/>
    <x v="0"/>
  </r>
  <r>
    <x v="18"/>
    <x v="1"/>
    <x v="18"/>
    <x v="12"/>
    <x v="0"/>
    <x v="45"/>
    <x v="16"/>
    <x v="18"/>
    <x v="0"/>
    <x v="0"/>
    <x v="0"/>
    <x v="0"/>
    <x v="48"/>
    <x v="16"/>
    <x v="18"/>
    <x v="0"/>
    <x v="78"/>
    <x v="78"/>
    <x v="78"/>
    <x v="0"/>
  </r>
  <r>
    <x v="18"/>
    <x v="2"/>
    <x v="18"/>
    <x v="12"/>
    <x v="0"/>
    <x v="0"/>
    <x v="16"/>
    <x v="10"/>
    <x v="0"/>
    <x v="0"/>
    <x v="0"/>
    <x v="0"/>
    <x v="0"/>
    <x v="16"/>
    <x v="10"/>
    <x v="0"/>
    <x v="79"/>
    <x v="79"/>
    <x v="79"/>
    <x v="0"/>
  </r>
  <r>
    <x v="18"/>
    <x v="4"/>
    <x v="18"/>
    <x v="12"/>
    <x v="0"/>
    <x v="35"/>
    <x v="17"/>
    <x v="3"/>
    <x v="0"/>
    <x v="0"/>
    <x v="0"/>
    <x v="0"/>
    <x v="37"/>
    <x v="17"/>
    <x v="3"/>
    <x v="0"/>
    <x v="80"/>
    <x v="80"/>
    <x v="80"/>
    <x v="0"/>
  </r>
  <r>
    <x v="18"/>
    <x v="5"/>
    <x v="18"/>
    <x v="12"/>
    <x v="0"/>
    <x v="11"/>
    <x v="0"/>
    <x v="14"/>
    <x v="0"/>
    <x v="0"/>
    <x v="0"/>
    <x v="0"/>
    <x v="11"/>
    <x v="0"/>
    <x v="14"/>
    <x v="0"/>
    <x v="81"/>
    <x v="81"/>
    <x v="81"/>
    <x v="0"/>
  </r>
  <r>
    <x v="19"/>
    <x v="6"/>
    <x v="19"/>
    <x v="1"/>
    <x v="0"/>
    <x v="41"/>
    <x v="0"/>
    <x v="8"/>
    <x v="0"/>
    <x v="0"/>
    <x v="0"/>
    <x v="0"/>
    <x v="43"/>
    <x v="0"/>
    <x v="8"/>
    <x v="0"/>
    <x v="82"/>
    <x v="82"/>
    <x v="82"/>
    <x v="0"/>
  </r>
  <r>
    <x v="19"/>
    <x v="3"/>
    <x v="19"/>
    <x v="1"/>
    <x v="0"/>
    <x v="46"/>
    <x v="0"/>
    <x v="10"/>
    <x v="0"/>
    <x v="0"/>
    <x v="0"/>
    <x v="0"/>
    <x v="49"/>
    <x v="0"/>
    <x v="10"/>
    <x v="0"/>
    <x v="83"/>
    <x v="83"/>
    <x v="83"/>
    <x v="0"/>
  </r>
  <r>
    <x v="19"/>
    <x v="0"/>
    <x v="19"/>
    <x v="1"/>
    <x v="0"/>
    <x v="41"/>
    <x v="0"/>
    <x v="10"/>
    <x v="0"/>
    <x v="0"/>
    <x v="0"/>
    <x v="0"/>
    <x v="43"/>
    <x v="0"/>
    <x v="10"/>
    <x v="0"/>
    <x v="84"/>
    <x v="84"/>
    <x v="84"/>
    <x v="0"/>
  </r>
  <r>
    <x v="19"/>
    <x v="1"/>
    <x v="19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19"/>
    <x v="2"/>
    <x v="19"/>
    <x v="1"/>
    <x v="0"/>
    <x v="47"/>
    <x v="0"/>
    <x v="1"/>
    <x v="0"/>
    <x v="0"/>
    <x v="0"/>
    <x v="0"/>
    <x v="50"/>
    <x v="0"/>
    <x v="1"/>
    <x v="0"/>
    <x v="86"/>
    <x v="86"/>
    <x v="86"/>
    <x v="0"/>
  </r>
  <r>
    <x v="20"/>
    <x v="2"/>
    <x v="20"/>
    <x v="9"/>
    <x v="0"/>
    <x v="9"/>
    <x v="0"/>
    <x v="6"/>
    <x v="0"/>
    <x v="0"/>
    <x v="0"/>
    <x v="0"/>
    <x v="9"/>
    <x v="0"/>
    <x v="6"/>
    <x v="0"/>
    <x v="87"/>
    <x v="87"/>
    <x v="87"/>
    <x v="0"/>
  </r>
  <r>
    <x v="20"/>
    <x v="4"/>
    <x v="20"/>
    <x v="9"/>
    <x v="0"/>
    <x v="22"/>
    <x v="0"/>
    <x v="10"/>
    <x v="0"/>
    <x v="0"/>
    <x v="0"/>
    <x v="0"/>
    <x v="22"/>
    <x v="0"/>
    <x v="10"/>
    <x v="0"/>
    <x v="88"/>
    <x v="88"/>
    <x v="88"/>
    <x v="0"/>
  </r>
  <r>
    <x v="20"/>
    <x v="5"/>
    <x v="20"/>
    <x v="9"/>
    <x v="0"/>
    <x v="48"/>
    <x v="0"/>
    <x v="11"/>
    <x v="0"/>
    <x v="0"/>
    <x v="0"/>
    <x v="0"/>
    <x v="51"/>
    <x v="0"/>
    <x v="11"/>
    <x v="0"/>
    <x v="89"/>
    <x v="89"/>
    <x v="89"/>
    <x v="0"/>
  </r>
  <r>
    <x v="21"/>
    <x v="6"/>
    <x v="21"/>
    <x v="4"/>
    <x v="0"/>
    <x v="17"/>
    <x v="13"/>
    <x v="6"/>
    <x v="0"/>
    <x v="0"/>
    <x v="0"/>
    <x v="0"/>
    <x v="17"/>
    <x v="13"/>
    <x v="6"/>
    <x v="0"/>
    <x v="90"/>
    <x v="90"/>
    <x v="90"/>
    <x v="0"/>
  </r>
  <r>
    <x v="21"/>
    <x v="3"/>
    <x v="21"/>
    <x v="4"/>
    <x v="0"/>
    <x v="49"/>
    <x v="10"/>
    <x v="6"/>
    <x v="0"/>
    <x v="0"/>
    <x v="0"/>
    <x v="0"/>
    <x v="52"/>
    <x v="10"/>
    <x v="6"/>
    <x v="0"/>
    <x v="91"/>
    <x v="91"/>
    <x v="91"/>
    <x v="0"/>
  </r>
  <r>
    <x v="21"/>
    <x v="0"/>
    <x v="21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1"/>
    <x v="2"/>
    <x v="21"/>
    <x v="4"/>
    <x v="0"/>
    <x v="17"/>
    <x v="18"/>
    <x v="8"/>
    <x v="0"/>
    <x v="0"/>
    <x v="0"/>
    <x v="0"/>
    <x v="17"/>
    <x v="18"/>
    <x v="8"/>
    <x v="0"/>
    <x v="30"/>
    <x v="30"/>
    <x v="30"/>
    <x v="0"/>
  </r>
  <r>
    <x v="21"/>
    <x v="4"/>
    <x v="21"/>
    <x v="4"/>
    <x v="0"/>
    <x v="18"/>
    <x v="8"/>
    <x v="14"/>
    <x v="0"/>
    <x v="0"/>
    <x v="0"/>
    <x v="0"/>
    <x v="18"/>
    <x v="8"/>
    <x v="14"/>
    <x v="0"/>
    <x v="92"/>
    <x v="92"/>
    <x v="92"/>
    <x v="0"/>
  </r>
  <r>
    <x v="22"/>
    <x v="6"/>
    <x v="22"/>
    <x v="13"/>
    <x v="0"/>
    <x v="17"/>
    <x v="16"/>
    <x v="6"/>
    <x v="0"/>
    <x v="0"/>
    <x v="0"/>
    <x v="0"/>
    <x v="17"/>
    <x v="16"/>
    <x v="6"/>
    <x v="0"/>
    <x v="93"/>
    <x v="93"/>
    <x v="93"/>
    <x v="0"/>
  </r>
  <r>
    <x v="22"/>
    <x v="3"/>
    <x v="22"/>
    <x v="13"/>
    <x v="0"/>
    <x v="17"/>
    <x v="6"/>
    <x v="11"/>
    <x v="0"/>
    <x v="0"/>
    <x v="0"/>
    <x v="0"/>
    <x v="17"/>
    <x v="6"/>
    <x v="11"/>
    <x v="0"/>
    <x v="94"/>
    <x v="94"/>
    <x v="94"/>
    <x v="0"/>
  </r>
  <r>
    <x v="22"/>
    <x v="0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1"/>
    <x v="22"/>
    <x v="13"/>
    <x v="0"/>
    <x v="17"/>
    <x v="9"/>
    <x v="3"/>
    <x v="0"/>
    <x v="0"/>
    <x v="0"/>
    <x v="0"/>
    <x v="17"/>
    <x v="9"/>
    <x v="3"/>
    <x v="0"/>
    <x v="95"/>
    <x v="95"/>
    <x v="95"/>
    <x v="0"/>
  </r>
  <r>
    <x v="22"/>
    <x v="2"/>
    <x v="22"/>
    <x v="13"/>
    <x v="0"/>
    <x v="17"/>
    <x v="0"/>
    <x v="11"/>
    <x v="0"/>
    <x v="0"/>
    <x v="0"/>
    <x v="0"/>
    <x v="17"/>
    <x v="0"/>
    <x v="11"/>
    <x v="0"/>
    <x v="42"/>
    <x v="42"/>
    <x v="42"/>
    <x v="0"/>
  </r>
  <r>
    <x v="22"/>
    <x v="4"/>
    <x v="22"/>
    <x v="13"/>
    <x v="0"/>
    <x v="17"/>
    <x v="19"/>
    <x v="11"/>
    <x v="0"/>
    <x v="0"/>
    <x v="0"/>
    <x v="0"/>
    <x v="17"/>
    <x v="19"/>
    <x v="11"/>
    <x v="0"/>
    <x v="96"/>
    <x v="96"/>
    <x v="96"/>
    <x v="0"/>
  </r>
  <r>
    <x v="23"/>
    <x v="6"/>
    <x v="23"/>
    <x v="14"/>
    <x v="0"/>
    <x v="20"/>
    <x v="20"/>
    <x v="1"/>
    <x v="0"/>
    <x v="0"/>
    <x v="0"/>
    <x v="0"/>
    <x v="20"/>
    <x v="20"/>
    <x v="1"/>
    <x v="0"/>
    <x v="97"/>
    <x v="97"/>
    <x v="97"/>
    <x v="0"/>
  </r>
  <r>
    <x v="23"/>
    <x v="3"/>
    <x v="23"/>
    <x v="14"/>
    <x v="0"/>
    <x v="20"/>
    <x v="21"/>
    <x v="16"/>
    <x v="0"/>
    <x v="0"/>
    <x v="0"/>
    <x v="0"/>
    <x v="20"/>
    <x v="21"/>
    <x v="16"/>
    <x v="0"/>
    <x v="98"/>
    <x v="98"/>
    <x v="98"/>
    <x v="0"/>
  </r>
  <r>
    <x v="23"/>
    <x v="4"/>
    <x v="23"/>
    <x v="14"/>
    <x v="0"/>
    <x v="17"/>
    <x v="8"/>
    <x v="16"/>
    <x v="0"/>
    <x v="0"/>
    <x v="0"/>
    <x v="0"/>
    <x v="17"/>
    <x v="8"/>
    <x v="16"/>
    <x v="0"/>
    <x v="99"/>
    <x v="99"/>
    <x v="99"/>
    <x v="0"/>
  </r>
  <r>
    <x v="24"/>
    <x v="3"/>
    <x v="24"/>
    <x v="15"/>
    <x v="0"/>
    <x v="29"/>
    <x v="22"/>
    <x v="19"/>
    <x v="0"/>
    <x v="1"/>
    <x v="0"/>
    <x v="0"/>
    <x v="53"/>
    <x v="22"/>
    <x v="19"/>
    <x v="0"/>
    <x v="100"/>
    <x v="100"/>
    <x v="100"/>
    <x v="0"/>
  </r>
  <r>
    <x v="24"/>
    <x v="0"/>
    <x v="24"/>
    <x v="15"/>
    <x v="0"/>
    <x v="50"/>
    <x v="12"/>
    <x v="17"/>
    <x v="0"/>
    <x v="1"/>
    <x v="0"/>
    <x v="0"/>
    <x v="54"/>
    <x v="12"/>
    <x v="17"/>
    <x v="0"/>
    <x v="101"/>
    <x v="101"/>
    <x v="101"/>
    <x v="0"/>
  </r>
  <r>
    <x v="24"/>
    <x v="1"/>
    <x v="24"/>
    <x v="15"/>
    <x v="0"/>
    <x v="51"/>
    <x v="23"/>
    <x v="2"/>
    <x v="0"/>
    <x v="1"/>
    <x v="0"/>
    <x v="0"/>
    <x v="55"/>
    <x v="23"/>
    <x v="2"/>
    <x v="0"/>
    <x v="102"/>
    <x v="102"/>
    <x v="102"/>
    <x v="0"/>
  </r>
  <r>
    <x v="24"/>
    <x v="2"/>
    <x v="24"/>
    <x v="15"/>
    <x v="0"/>
    <x v="52"/>
    <x v="23"/>
    <x v="20"/>
    <x v="0"/>
    <x v="1"/>
    <x v="0"/>
    <x v="0"/>
    <x v="56"/>
    <x v="23"/>
    <x v="20"/>
    <x v="0"/>
    <x v="103"/>
    <x v="103"/>
    <x v="103"/>
    <x v="0"/>
  </r>
  <r>
    <x v="24"/>
    <x v="5"/>
    <x v="24"/>
    <x v="15"/>
    <x v="0"/>
    <x v="34"/>
    <x v="0"/>
    <x v="16"/>
    <x v="0"/>
    <x v="1"/>
    <x v="0"/>
    <x v="0"/>
    <x v="57"/>
    <x v="0"/>
    <x v="16"/>
    <x v="0"/>
    <x v="104"/>
    <x v="104"/>
    <x v="104"/>
    <x v="0"/>
  </r>
  <r>
    <x v="25"/>
    <x v="6"/>
    <x v="25"/>
    <x v="6"/>
    <x v="0"/>
    <x v="22"/>
    <x v="0"/>
    <x v="11"/>
    <x v="0"/>
    <x v="0"/>
    <x v="0"/>
    <x v="0"/>
    <x v="22"/>
    <x v="0"/>
    <x v="11"/>
    <x v="0"/>
    <x v="31"/>
    <x v="31"/>
    <x v="31"/>
    <x v="0"/>
  </r>
  <r>
    <x v="25"/>
    <x v="3"/>
    <x v="25"/>
    <x v="6"/>
    <x v="0"/>
    <x v="53"/>
    <x v="0"/>
    <x v="8"/>
    <x v="0"/>
    <x v="0"/>
    <x v="0"/>
    <x v="0"/>
    <x v="58"/>
    <x v="0"/>
    <x v="8"/>
    <x v="0"/>
    <x v="105"/>
    <x v="105"/>
    <x v="105"/>
    <x v="0"/>
  </r>
  <r>
    <x v="25"/>
    <x v="0"/>
    <x v="25"/>
    <x v="6"/>
    <x v="0"/>
    <x v="1"/>
    <x v="0"/>
    <x v="10"/>
    <x v="0"/>
    <x v="0"/>
    <x v="0"/>
    <x v="0"/>
    <x v="1"/>
    <x v="0"/>
    <x v="10"/>
    <x v="0"/>
    <x v="20"/>
    <x v="20"/>
    <x v="20"/>
    <x v="0"/>
  </r>
  <r>
    <x v="26"/>
    <x v="6"/>
    <x v="26"/>
    <x v="4"/>
    <x v="0"/>
    <x v="10"/>
    <x v="24"/>
    <x v="7"/>
    <x v="0"/>
    <x v="0"/>
    <x v="0"/>
    <x v="0"/>
    <x v="10"/>
    <x v="24"/>
    <x v="7"/>
    <x v="0"/>
    <x v="106"/>
    <x v="106"/>
    <x v="106"/>
    <x v="0"/>
  </r>
  <r>
    <x v="26"/>
    <x v="3"/>
    <x v="26"/>
    <x v="4"/>
    <x v="0"/>
    <x v="17"/>
    <x v="24"/>
    <x v="11"/>
    <x v="0"/>
    <x v="0"/>
    <x v="0"/>
    <x v="0"/>
    <x v="17"/>
    <x v="24"/>
    <x v="11"/>
    <x v="0"/>
    <x v="107"/>
    <x v="107"/>
    <x v="107"/>
    <x v="0"/>
  </r>
  <r>
    <x v="26"/>
    <x v="1"/>
    <x v="26"/>
    <x v="4"/>
    <x v="0"/>
    <x v="40"/>
    <x v="7"/>
    <x v="12"/>
    <x v="0"/>
    <x v="0"/>
    <x v="0"/>
    <x v="0"/>
    <x v="42"/>
    <x v="7"/>
    <x v="12"/>
    <x v="0"/>
    <x v="108"/>
    <x v="108"/>
    <x v="108"/>
    <x v="0"/>
  </r>
  <r>
    <x v="26"/>
    <x v="2"/>
    <x v="26"/>
    <x v="4"/>
    <x v="0"/>
    <x v="29"/>
    <x v="13"/>
    <x v="14"/>
    <x v="0"/>
    <x v="0"/>
    <x v="0"/>
    <x v="0"/>
    <x v="30"/>
    <x v="13"/>
    <x v="14"/>
    <x v="0"/>
    <x v="109"/>
    <x v="109"/>
    <x v="109"/>
    <x v="0"/>
  </r>
  <r>
    <x v="26"/>
    <x v="4"/>
    <x v="26"/>
    <x v="4"/>
    <x v="0"/>
    <x v="54"/>
    <x v="13"/>
    <x v="12"/>
    <x v="0"/>
    <x v="0"/>
    <x v="0"/>
    <x v="0"/>
    <x v="59"/>
    <x v="13"/>
    <x v="12"/>
    <x v="0"/>
    <x v="110"/>
    <x v="110"/>
    <x v="110"/>
    <x v="0"/>
  </r>
  <r>
    <x v="26"/>
    <x v="5"/>
    <x v="26"/>
    <x v="4"/>
    <x v="0"/>
    <x v="55"/>
    <x v="11"/>
    <x v="9"/>
    <x v="0"/>
    <x v="0"/>
    <x v="0"/>
    <x v="0"/>
    <x v="60"/>
    <x v="11"/>
    <x v="9"/>
    <x v="0"/>
    <x v="77"/>
    <x v="77"/>
    <x v="77"/>
    <x v="0"/>
  </r>
  <r>
    <x v="27"/>
    <x v="6"/>
    <x v="27"/>
    <x v="4"/>
    <x v="0"/>
    <x v="20"/>
    <x v="0"/>
    <x v="11"/>
    <x v="0"/>
    <x v="0"/>
    <x v="0"/>
    <x v="0"/>
    <x v="20"/>
    <x v="0"/>
    <x v="11"/>
    <x v="0"/>
    <x v="29"/>
    <x v="29"/>
    <x v="29"/>
    <x v="0"/>
  </r>
  <r>
    <x v="27"/>
    <x v="3"/>
    <x v="27"/>
    <x v="4"/>
    <x v="0"/>
    <x v="17"/>
    <x v="0"/>
    <x v="11"/>
    <x v="0"/>
    <x v="0"/>
    <x v="0"/>
    <x v="0"/>
    <x v="17"/>
    <x v="0"/>
    <x v="11"/>
    <x v="0"/>
    <x v="42"/>
    <x v="42"/>
    <x v="42"/>
    <x v="0"/>
  </r>
  <r>
    <x v="27"/>
    <x v="0"/>
    <x v="27"/>
    <x v="4"/>
    <x v="0"/>
    <x v="56"/>
    <x v="13"/>
    <x v="11"/>
    <x v="0"/>
    <x v="0"/>
    <x v="0"/>
    <x v="0"/>
    <x v="61"/>
    <x v="13"/>
    <x v="11"/>
    <x v="0"/>
    <x v="111"/>
    <x v="111"/>
    <x v="111"/>
    <x v="0"/>
  </r>
  <r>
    <x v="27"/>
    <x v="1"/>
    <x v="27"/>
    <x v="4"/>
    <x v="0"/>
    <x v="56"/>
    <x v="11"/>
    <x v="6"/>
    <x v="0"/>
    <x v="0"/>
    <x v="0"/>
    <x v="0"/>
    <x v="61"/>
    <x v="11"/>
    <x v="6"/>
    <x v="0"/>
    <x v="112"/>
    <x v="112"/>
    <x v="112"/>
    <x v="0"/>
  </r>
  <r>
    <x v="27"/>
    <x v="2"/>
    <x v="27"/>
    <x v="4"/>
    <x v="0"/>
    <x v="19"/>
    <x v="0"/>
    <x v="11"/>
    <x v="0"/>
    <x v="0"/>
    <x v="0"/>
    <x v="0"/>
    <x v="19"/>
    <x v="0"/>
    <x v="11"/>
    <x v="0"/>
    <x v="67"/>
    <x v="67"/>
    <x v="67"/>
    <x v="0"/>
  </r>
  <r>
    <x v="27"/>
    <x v="4"/>
    <x v="27"/>
    <x v="4"/>
    <x v="0"/>
    <x v="19"/>
    <x v="4"/>
    <x v="6"/>
    <x v="0"/>
    <x v="0"/>
    <x v="0"/>
    <x v="0"/>
    <x v="19"/>
    <x v="4"/>
    <x v="6"/>
    <x v="0"/>
    <x v="113"/>
    <x v="113"/>
    <x v="113"/>
    <x v="0"/>
  </r>
  <r>
    <x v="27"/>
    <x v="5"/>
    <x v="27"/>
    <x v="4"/>
    <x v="0"/>
    <x v="57"/>
    <x v="25"/>
    <x v="1"/>
    <x v="0"/>
    <x v="0"/>
    <x v="0"/>
    <x v="0"/>
    <x v="62"/>
    <x v="25"/>
    <x v="1"/>
    <x v="0"/>
    <x v="114"/>
    <x v="114"/>
    <x v="114"/>
    <x v="0"/>
  </r>
  <r>
    <x v="28"/>
    <x v="5"/>
    <x v="28"/>
    <x v="16"/>
    <x v="0"/>
    <x v="37"/>
    <x v="0"/>
    <x v="7"/>
    <x v="0"/>
    <x v="0"/>
    <x v="0"/>
    <x v="0"/>
    <x v="39"/>
    <x v="0"/>
    <x v="7"/>
    <x v="0"/>
    <x v="115"/>
    <x v="115"/>
    <x v="115"/>
    <x v="0"/>
  </r>
  <r>
    <x v="29"/>
    <x v="6"/>
    <x v="29"/>
    <x v="1"/>
    <x v="0"/>
    <x v="47"/>
    <x v="0"/>
    <x v="6"/>
    <x v="0"/>
    <x v="0"/>
    <x v="0"/>
    <x v="0"/>
    <x v="50"/>
    <x v="0"/>
    <x v="6"/>
    <x v="0"/>
    <x v="116"/>
    <x v="116"/>
    <x v="116"/>
    <x v="0"/>
  </r>
  <r>
    <x v="29"/>
    <x v="3"/>
    <x v="29"/>
    <x v="1"/>
    <x v="0"/>
    <x v="39"/>
    <x v="0"/>
    <x v="1"/>
    <x v="0"/>
    <x v="0"/>
    <x v="0"/>
    <x v="0"/>
    <x v="41"/>
    <x v="0"/>
    <x v="1"/>
    <x v="0"/>
    <x v="117"/>
    <x v="117"/>
    <x v="117"/>
    <x v="0"/>
  </r>
  <r>
    <x v="29"/>
    <x v="0"/>
    <x v="29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29"/>
    <x v="1"/>
    <x v="29"/>
    <x v="1"/>
    <x v="0"/>
    <x v="59"/>
    <x v="0"/>
    <x v="6"/>
    <x v="0"/>
    <x v="0"/>
    <x v="0"/>
    <x v="0"/>
    <x v="64"/>
    <x v="0"/>
    <x v="6"/>
    <x v="0"/>
    <x v="119"/>
    <x v="119"/>
    <x v="119"/>
    <x v="0"/>
  </r>
  <r>
    <x v="29"/>
    <x v="2"/>
    <x v="29"/>
    <x v="1"/>
    <x v="0"/>
    <x v="0"/>
    <x v="0"/>
    <x v="10"/>
    <x v="0"/>
    <x v="0"/>
    <x v="0"/>
    <x v="0"/>
    <x v="0"/>
    <x v="0"/>
    <x v="10"/>
    <x v="0"/>
    <x v="120"/>
    <x v="120"/>
    <x v="120"/>
    <x v="0"/>
  </r>
  <r>
    <x v="29"/>
    <x v="4"/>
    <x v="29"/>
    <x v="1"/>
    <x v="0"/>
    <x v="60"/>
    <x v="0"/>
    <x v="1"/>
    <x v="0"/>
    <x v="0"/>
    <x v="0"/>
    <x v="0"/>
    <x v="65"/>
    <x v="0"/>
    <x v="1"/>
    <x v="0"/>
    <x v="121"/>
    <x v="121"/>
    <x v="121"/>
    <x v="0"/>
  </r>
  <r>
    <x v="30"/>
    <x v="6"/>
    <x v="30"/>
    <x v="8"/>
    <x v="0"/>
    <x v="60"/>
    <x v="9"/>
    <x v="11"/>
    <x v="0"/>
    <x v="0"/>
    <x v="0"/>
    <x v="0"/>
    <x v="65"/>
    <x v="9"/>
    <x v="11"/>
    <x v="0"/>
    <x v="122"/>
    <x v="122"/>
    <x v="122"/>
    <x v="0"/>
  </r>
  <r>
    <x v="30"/>
    <x v="3"/>
    <x v="30"/>
    <x v="8"/>
    <x v="0"/>
    <x v="49"/>
    <x v="26"/>
    <x v="6"/>
    <x v="0"/>
    <x v="0"/>
    <x v="0"/>
    <x v="0"/>
    <x v="52"/>
    <x v="26"/>
    <x v="6"/>
    <x v="0"/>
    <x v="123"/>
    <x v="123"/>
    <x v="123"/>
    <x v="0"/>
  </r>
  <r>
    <x v="30"/>
    <x v="0"/>
    <x v="30"/>
    <x v="8"/>
    <x v="0"/>
    <x v="0"/>
    <x v="12"/>
    <x v="8"/>
    <x v="0"/>
    <x v="0"/>
    <x v="0"/>
    <x v="0"/>
    <x v="0"/>
    <x v="12"/>
    <x v="8"/>
    <x v="0"/>
    <x v="124"/>
    <x v="124"/>
    <x v="124"/>
    <x v="0"/>
  </r>
  <r>
    <x v="30"/>
    <x v="1"/>
    <x v="30"/>
    <x v="8"/>
    <x v="0"/>
    <x v="17"/>
    <x v="25"/>
    <x v="6"/>
    <x v="0"/>
    <x v="0"/>
    <x v="0"/>
    <x v="0"/>
    <x v="17"/>
    <x v="25"/>
    <x v="6"/>
    <x v="0"/>
    <x v="125"/>
    <x v="125"/>
    <x v="125"/>
    <x v="0"/>
  </r>
  <r>
    <x v="30"/>
    <x v="2"/>
    <x v="30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30"/>
    <x v="4"/>
    <x v="30"/>
    <x v="8"/>
    <x v="0"/>
    <x v="17"/>
    <x v="13"/>
    <x v="6"/>
    <x v="0"/>
    <x v="0"/>
    <x v="0"/>
    <x v="0"/>
    <x v="17"/>
    <x v="13"/>
    <x v="6"/>
    <x v="0"/>
    <x v="90"/>
    <x v="90"/>
    <x v="90"/>
    <x v="0"/>
  </r>
  <r>
    <x v="30"/>
    <x v="5"/>
    <x v="30"/>
    <x v="8"/>
    <x v="0"/>
    <x v="47"/>
    <x v="25"/>
    <x v="11"/>
    <x v="0"/>
    <x v="0"/>
    <x v="0"/>
    <x v="0"/>
    <x v="50"/>
    <x v="25"/>
    <x v="11"/>
    <x v="0"/>
    <x v="126"/>
    <x v="126"/>
    <x v="126"/>
    <x v="0"/>
  </r>
  <r>
    <x v="31"/>
    <x v="5"/>
    <x v="31"/>
    <x v="4"/>
    <x v="0"/>
    <x v="48"/>
    <x v="0"/>
    <x v="11"/>
    <x v="0"/>
    <x v="0"/>
    <x v="0"/>
    <x v="0"/>
    <x v="51"/>
    <x v="0"/>
    <x v="11"/>
    <x v="0"/>
    <x v="89"/>
    <x v="89"/>
    <x v="89"/>
    <x v="0"/>
  </r>
  <r>
    <x v="32"/>
    <x v="3"/>
    <x v="32"/>
    <x v="1"/>
    <x v="0"/>
    <x v="5"/>
    <x v="0"/>
    <x v="8"/>
    <x v="0"/>
    <x v="0"/>
    <x v="0"/>
    <x v="0"/>
    <x v="5"/>
    <x v="0"/>
    <x v="8"/>
    <x v="0"/>
    <x v="127"/>
    <x v="127"/>
    <x v="127"/>
    <x v="0"/>
  </r>
  <r>
    <x v="32"/>
    <x v="0"/>
    <x v="32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32"/>
    <x v="1"/>
    <x v="32"/>
    <x v="1"/>
    <x v="0"/>
    <x v="46"/>
    <x v="0"/>
    <x v="6"/>
    <x v="0"/>
    <x v="0"/>
    <x v="0"/>
    <x v="0"/>
    <x v="49"/>
    <x v="0"/>
    <x v="6"/>
    <x v="0"/>
    <x v="129"/>
    <x v="129"/>
    <x v="129"/>
    <x v="0"/>
  </r>
  <r>
    <x v="32"/>
    <x v="2"/>
    <x v="32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32"/>
    <x v="4"/>
    <x v="32"/>
    <x v="1"/>
    <x v="0"/>
    <x v="60"/>
    <x v="0"/>
    <x v="6"/>
    <x v="0"/>
    <x v="0"/>
    <x v="0"/>
    <x v="0"/>
    <x v="65"/>
    <x v="0"/>
    <x v="6"/>
    <x v="0"/>
    <x v="131"/>
    <x v="131"/>
    <x v="131"/>
    <x v="0"/>
  </r>
  <r>
    <x v="33"/>
    <x v="6"/>
    <x v="33"/>
    <x v="6"/>
    <x v="0"/>
    <x v="15"/>
    <x v="0"/>
    <x v="3"/>
    <x v="0"/>
    <x v="1"/>
    <x v="0"/>
    <x v="0"/>
    <x v="66"/>
    <x v="0"/>
    <x v="3"/>
    <x v="0"/>
    <x v="132"/>
    <x v="132"/>
    <x v="132"/>
    <x v="0"/>
  </r>
  <r>
    <x v="33"/>
    <x v="3"/>
    <x v="33"/>
    <x v="6"/>
    <x v="0"/>
    <x v="38"/>
    <x v="0"/>
    <x v="7"/>
    <x v="0"/>
    <x v="1"/>
    <x v="0"/>
    <x v="0"/>
    <x v="67"/>
    <x v="0"/>
    <x v="7"/>
    <x v="0"/>
    <x v="133"/>
    <x v="133"/>
    <x v="133"/>
    <x v="0"/>
  </r>
  <r>
    <x v="33"/>
    <x v="1"/>
    <x v="33"/>
    <x v="6"/>
    <x v="0"/>
    <x v="9"/>
    <x v="0"/>
    <x v="10"/>
    <x v="0"/>
    <x v="1"/>
    <x v="0"/>
    <x v="0"/>
    <x v="68"/>
    <x v="0"/>
    <x v="10"/>
    <x v="0"/>
    <x v="134"/>
    <x v="134"/>
    <x v="134"/>
    <x v="0"/>
  </r>
  <r>
    <x v="33"/>
    <x v="2"/>
    <x v="33"/>
    <x v="6"/>
    <x v="0"/>
    <x v="38"/>
    <x v="0"/>
    <x v="14"/>
    <x v="0"/>
    <x v="1"/>
    <x v="0"/>
    <x v="0"/>
    <x v="67"/>
    <x v="0"/>
    <x v="14"/>
    <x v="0"/>
    <x v="135"/>
    <x v="135"/>
    <x v="135"/>
    <x v="0"/>
  </r>
  <r>
    <x v="33"/>
    <x v="4"/>
    <x v="33"/>
    <x v="6"/>
    <x v="0"/>
    <x v="13"/>
    <x v="0"/>
    <x v="7"/>
    <x v="0"/>
    <x v="1"/>
    <x v="0"/>
    <x v="0"/>
    <x v="69"/>
    <x v="0"/>
    <x v="7"/>
    <x v="0"/>
    <x v="136"/>
    <x v="136"/>
    <x v="136"/>
    <x v="0"/>
  </r>
  <r>
    <x v="33"/>
    <x v="5"/>
    <x v="33"/>
    <x v="6"/>
    <x v="0"/>
    <x v="35"/>
    <x v="0"/>
    <x v="8"/>
    <x v="0"/>
    <x v="1"/>
    <x v="0"/>
    <x v="0"/>
    <x v="70"/>
    <x v="0"/>
    <x v="8"/>
    <x v="0"/>
    <x v="137"/>
    <x v="137"/>
    <x v="137"/>
    <x v="0"/>
  </r>
  <r>
    <x v="34"/>
    <x v="3"/>
    <x v="34"/>
    <x v="8"/>
    <x v="0"/>
    <x v="61"/>
    <x v="0"/>
    <x v="11"/>
    <x v="0"/>
    <x v="0"/>
    <x v="0"/>
    <x v="0"/>
    <x v="71"/>
    <x v="0"/>
    <x v="11"/>
    <x v="0"/>
    <x v="138"/>
    <x v="138"/>
    <x v="138"/>
    <x v="0"/>
  </r>
  <r>
    <x v="34"/>
    <x v="0"/>
    <x v="34"/>
    <x v="8"/>
    <x v="0"/>
    <x v="36"/>
    <x v="0"/>
    <x v="6"/>
    <x v="0"/>
    <x v="0"/>
    <x v="0"/>
    <x v="0"/>
    <x v="38"/>
    <x v="0"/>
    <x v="6"/>
    <x v="0"/>
    <x v="51"/>
    <x v="51"/>
    <x v="51"/>
    <x v="0"/>
  </r>
  <r>
    <x v="34"/>
    <x v="1"/>
    <x v="34"/>
    <x v="8"/>
    <x v="0"/>
    <x v="62"/>
    <x v="0"/>
    <x v="6"/>
    <x v="0"/>
    <x v="0"/>
    <x v="0"/>
    <x v="0"/>
    <x v="72"/>
    <x v="0"/>
    <x v="6"/>
    <x v="0"/>
    <x v="139"/>
    <x v="139"/>
    <x v="139"/>
    <x v="0"/>
  </r>
  <r>
    <x v="35"/>
    <x v="1"/>
    <x v="35"/>
    <x v="10"/>
    <x v="3"/>
    <x v="47"/>
    <x v="0"/>
    <x v="6"/>
    <x v="0"/>
    <x v="0"/>
    <x v="0"/>
    <x v="0"/>
    <x v="50"/>
    <x v="0"/>
    <x v="6"/>
    <x v="0"/>
    <x v="116"/>
    <x v="116"/>
    <x v="116"/>
    <x v="0"/>
  </r>
  <r>
    <x v="35"/>
    <x v="2"/>
    <x v="35"/>
    <x v="10"/>
    <x v="3"/>
    <x v="7"/>
    <x v="0"/>
    <x v="10"/>
    <x v="0"/>
    <x v="0"/>
    <x v="0"/>
    <x v="0"/>
    <x v="7"/>
    <x v="0"/>
    <x v="10"/>
    <x v="0"/>
    <x v="140"/>
    <x v="140"/>
    <x v="140"/>
    <x v="0"/>
  </r>
  <r>
    <x v="35"/>
    <x v="4"/>
    <x v="35"/>
    <x v="10"/>
    <x v="3"/>
    <x v="63"/>
    <x v="0"/>
    <x v="0"/>
    <x v="0"/>
    <x v="0"/>
    <x v="0"/>
    <x v="0"/>
    <x v="73"/>
    <x v="0"/>
    <x v="0"/>
    <x v="0"/>
    <x v="141"/>
    <x v="141"/>
    <x v="141"/>
    <x v="0"/>
  </r>
  <r>
    <x v="35"/>
    <x v="5"/>
    <x v="35"/>
    <x v="10"/>
    <x v="3"/>
    <x v="15"/>
    <x v="0"/>
    <x v="0"/>
    <x v="0"/>
    <x v="0"/>
    <x v="0"/>
    <x v="0"/>
    <x v="15"/>
    <x v="0"/>
    <x v="0"/>
    <x v="0"/>
    <x v="142"/>
    <x v="142"/>
    <x v="142"/>
    <x v="0"/>
  </r>
  <r>
    <x v="36"/>
    <x v="6"/>
    <x v="36"/>
    <x v="4"/>
    <x v="0"/>
    <x v="41"/>
    <x v="27"/>
    <x v="16"/>
    <x v="0"/>
    <x v="0"/>
    <x v="0"/>
    <x v="0"/>
    <x v="43"/>
    <x v="27"/>
    <x v="16"/>
    <x v="0"/>
    <x v="143"/>
    <x v="143"/>
    <x v="143"/>
    <x v="0"/>
  </r>
  <r>
    <x v="36"/>
    <x v="3"/>
    <x v="36"/>
    <x v="4"/>
    <x v="0"/>
    <x v="15"/>
    <x v="26"/>
    <x v="16"/>
    <x v="0"/>
    <x v="0"/>
    <x v="0"/>
    <x v="0"/>
    <x v="15"/>
    <x v="26"/>
    <x v="16"/>
    <x v="0"/>
    <x v="144"/>
    <x v="144"/>
    <x v="144"/>
    <x v="0"/>
  </r>
  <r>
    <x v="36"/>
    <x v="0"/>
    <x v="36"/>
    <x v="4"/>
    <x v="0"/>
    <x v="39"/>
    <x v="19"/>
    <x v="1"/>
    <x v="0"/>
    <x v="0"/>
    <x v="0"/>
    <x v="0"/>
    <x v="41"/>
    <x v="19"/>
    <x v="1"/>
    <x v="0"/>
    <x v="145"/>
    <x v="145"/>
    <x v="145"/>
    <x v="0"/>
  </r>
  <r>
    <x v="36"/>
    <x v="1"/>
    <x v="36"/>
    <x v="4"/>
    <x v="0"/>
    <x v="49"/>
    <x v="0"/>
    <x v="10"/>
    <x v="0"/>
    <x v="0"/>
    <x v="0"/>
    <x v="0"/>
    <x v="52"/>
    <x v="0"/>
    <x v="10"/>
    <x v="0"/>
    <x v="146"/>
    <x v="146"/>
    <x v="146"/>
    <x v="0"/>
  </r>
  <r>
    <x v="36"/>
    <x v="2"/>
    <x v="36"/>
    <x v="4"/>
    <x v="0"/>
    <x v="56"/>
    <x v="0"/>
    <x v="6"/>
    <x v="0"/>
    <x v="0"/>
    <x v="0"/>
    <x v="0"/>
    <x v="61"/>
    <x v="0"/>
    <x v="6"/>
    <x v="0"/>
    <x v="147"/>
    <x v="147"/>
    <x v="147"/>
    <x v="0"/>
  </r>
  <r>
    <x v="36"/>
    <x v="5"/>
    <x v="36"/>
    <x v="4"/>
    <x v="0"/>
    <x v="1"/>
    <x v="0"/>
    <x v="6"/>
    <x v="0"/>
    <x v="0"/>
    <x v="0"/>
    <x v="0"/>
    <x v="1"/>
    <x v="0"/>
    <x v="6"/>
    <x v="0"/>
    <x v="148"/>
    <x v="148"/>
    <x v="148"/>
    <x v="0"/>
  </r>
  <r>
    <x v="37"/>
    <x v="3"/>
    <x v="37"/>
    <x v="12"/>
    <x v="0"/>
    <x v="38"/>
    <x v="0"/>
    <x v="7"/>
    <x v="0"/>
    <x v="0"/>
    <x v="0"/>
    <x v="0"/>
    <x v="40"/>
    <x v="0"/>
    <x v="7"/>
    <x v="0"/>
    <x v="149"/>
    <x v="149"/>
    <x v="149"/>
    <x v="0"/>
  </r>
  <r>
    <x v="37"/>
    <x v="1"/>
    <x v="37"/>
    <x v="12"/>
    <x v="0"/>
    <x v="40"/>
    <x v="0"/>
    <x v="14"/>
    <x v="0"/>
    <x v="0"/>
    <x v="0"/>
    <x v="0"/>
    <x v="42"/>
    <x v="0"/>
    <x v="14"/>
    <x v="0"/>
    <x v="150"/>
    <x v="150"/>
    <x v="150"/>
    <x v="0"/>
  </r>
  <r>
    <x v="37"/>
    <x v="2"/>
    <x v="37"/>
    <x v="12"/>
    <x v="0"/>
    <x v="37"/>
    <x v="0"/>
    <x v="10"/>
    <x v="0"/>
    <x v="0"/>
    <x v="0"/>
    <x v="0"/>
    <x v="39"/>
    <x v="0"/>
    <x v="10"/>
    <x v="0"/>
    <x v="151"/>
    <x v="151"/>
    <x v="151"/>
    <x v="0"/>
  </r>
  <r>
    <x v="37"/>
    <x v="4"/>
    <x v="37"/>
    <x v="12"/>
    <x v="0"/>
    <x v="64"/>
    <x v="0"/>
    <x v="16"/>
    <x v="0"/>
    <x v="0"/>
    <x v="0"/>
    <x v="0"/>
    <x v="74"/>
    <x v="0"/>
    <x v="16"/>
    <x v="0"/>
    <x v="152"/>
    <x v="152"/>
    <x v="152"/>
    <x v="0"/>
  </r>
  <r>
    <x v="38"/>
    <x v="6"/>
    <x v="38"/>
    <x v="1"/>
    <x v="0"/>
    <x v="17"/>
    <x v="7"/>
    <x v="8"/>
    <x v="0"/>
    <x v="0"/>
    <x v="0"/>
    <x v="0"/>
    <x v="17"/>
    <x v="7"/>
    <x v="8"/>
    <x v="0"/>
    <x v="31"/>
    <x v="31"/>
    <x v="31"/>
    <x v="0"/>
  </r>
  <r>
    <x v="38"/>
    <x v="0"/>
    <x v="38"/>
    <x v="1"/>
    <x v="0"/>
    <x v="20"/>
    <x v="0"/>
    <x v="11"/>
    <x v="0"/>
    <x v="0"/>
    <x v="0"/>
    <x v="0"/>
    <x v="20"/>
    <x v="0"/>
    <x v="11"/>
    <x v="0"/>
    <x v="29"/>
    <x v="29"/>
    <x v="29"/>
    <x v="0"/>
  </r>
  <r>
    <x v="38"/>
    <x v="1"/>
    <x v="38"/>
    <x v="1"/>
    <x v="0"/>
    <x v="17"/>
    <x v="26"/>
    <x v="11"/>
    <x v="0"/>
    <x v="0"/>
    <x v="0"/>
    <x v="0"/>
    <x v="17"/>
    <x v="26"/>
    <x v="11"/>
    <x v="0"/>
    <x v="153"/>
    <x v="153"/>
    <x v="153"/>
    <x v="0"/>
  </r>
  <r>
    <x v="38"/>
    <x v="2"/>
    <x v="38"/>
    <x v="1"/>
    <x v="0"/>
    <x v="18"/>
    <x v="28"/>
    <x v="1"/>
    <x v="0"/>
    <x v="0"/>
    <x v="0"/>
    <x v="0"/>
    <x v="18"/>
    <x v="28"/>
    <x v="1"/>
    <x v="0"/>
    <x v="154"/>
    <x v="154"/>
    <x v="154"/>
    <x v="0"/>
  </r>
  <r>
    <x v="38"/>
    <x v="4"/>
    <x v="38"/>
    <x v="1"/>
    <x v="0"/>
    <x v="65"/>
    <x v="18"/>
    <x v="1"/>
    <x v="0"/>
    <x v="0"/>
    <x v="0"/>
    <x v="0"/>
    <x v="75"/>
    <x v="18"/>
    <x v="1"/>
    <x v="0"/>
    <x v="155"/>
    <x v="155"/>
    <x v="155"/>
    <x v="0"/>
  </r>
  <r>
    <x v="38"/>
    <x v="5"/>
    <x v="38"/>
    <x v="1"/>
    <x v="0"/>
    <x v="20"/>
    <x v="3"/>
    <x v="1"/>
    <x v="0"/>
    <x v="0"/>
    <x v="0"/>
    <x v="0"/>
    <x v="20"/>
    <x v="3"/>
    <x v="1"/>
    <x v="0"/>
    <x v="156"/>
    <x v="156"/>
    <x v="156"/>
    <x v="0"/>
  </r>
  <r>
    <x v="39"/>
    <x v="4"/>
    <x v="39"/>
    <x v="14"/>
    <x v="0"/>
    <x v="19"/>
    <x v="0"/>
    <x v="11"/>
    <x v="0"/>
    <x v="0"/>
    <x v="0"/>
    <x v="0"/>
    <x v="19"/>
    <x v="0"/>
    <x v="11"/>
    <x v="0"/>
    <x v="67"/>
    <x v="67"/>
    <x v="67"/>
    <x v="0"/>
  </r>
  <r>
    <x v="40"/>
    <x v="6"/>
    <x v="40"/>
    <x v="17"/>
    <x v="4"/>
    <x v="63"/>
    <x v="0"/>
    <x v="0"/>
    <x v="0"/>
    <x v="0"/>
    <x v="0"/>
    <x v="0"/>
    <x v="73"/>
    <x v="0"/>
    <x v="0"/>
    <x v="0"/>
    <x v="141"/>
    <x v="141"/>
    <x v="141"/>
    <x v="0"/>
  </r>
  <r>
    <x v="40"/>
    <x v="3"/>
    <x v="40"/>
    <x v="17"/>
    <x v="4"/>
    <x v="65"/>
    <x v="1"/>
    <x v="7"/>
    <x v="0"/>
    <x v="0"/>
    <x v="0"/>
    <x v="0"/>
    <x v="75"/>
    <x v="1"/>
    <x v="7"/>
    <x v="0"/>
    <x v="157"/>
    <x v="157"/>
    <x v="157"/>
    <x v="0"/>
  </r>
  <r>
    <x v="40"/>
    <x v="0"/>
    <x v="40"/>
    <x v="17"/>
    <x v="4"/>
    <x v="15"/>
    <x v="19"/>
    <x v="8"/>
    <x v="0"/>
    <x v="0"/>
    <x v="0"/>
    <x v="0"/>
    <x v="15"/>
    <x v="19"/>
    <x v="8"/>
    <x v="0"/>
    <x v="158"/>
    <x v="158"/>
    <x v="158"/>
    <x v="0"/>
  </r>
  <r>
    <x v="40"/>
    <x v="1"/>
    <x v="40"/>
    <x v="17"/>
    <x v="4"/>
    <x v="13"/>
    <x v="0"/>
    <x v="12"/>
    <x v="0"/>
    <x v="0"/>
    <x v="0"/>
    <x v="0"/>
    <x v="13"/>
    <x v="0"/>
    <x v="12"/>
    <x v="0"/>
    <x v="159"/>
    <x v="159"/>
    <x v="159"/>
    <x v="0"/>
  </r>
  <r>
    <x v="40"/>
    <x v="4"/>
    <x v="40"/>
    <x v="17"/>
    <x v="4"/>
    <x v="23"/>
    <x v="10"/>
    <x v="10"/>
    <x v="0"/>
    <x v="0"/>
    <x v="0"/>
    <x v="0"/>
    <x v="23"/>
    <x v="10"/>
    <x v="10"/>
    <x v="0"/>
    <x v="160"/>
    <x v="160"/>
    <x v="160"/>
    <x v="0"/>
  </r>
  <r>
    <x v="40"/>
    <x v="5"/>
    <x v="40"/>
    <x v="17"/>
    <x v="4"/>
    <x v="22"/>
    <x v="1"/>
    <x v="2"/>
    <x v="0"/>
    <x v="0"/>
    <x v="0"/>
    <x v="0"/>
    <x v="22"/>
    <x v="1"/>
    <x v="2"/>
    <x v="0"/>
    <x v="161"/>
    <x v="161"/>
    <x v="161"/>
    <x v="0"/>
  </r>
  <r>
    <x v="41"/>
    <x v="6"/>
    <x v="41"/>
    <x v="18"/>
    <x v="0"/>
    <x v="20"/>
    <x v="17"/>
    <x v="1"/>
    <x v="0"/>
    <x v="0"/>
    <x v="0"/>
    <x v="0"/>
    <x v="20"/>
    <x v="17"/>
    <x v="1"/>
    <x v="0"/>
    <x v="162"/>
    <x v="162"/>
    <x v="162"/>
    <x v="0"/>
  </r>
  <r>
    <x v="41"/>
    <x v="3"/>
    <x v="41"/>
    <x v="18"/>
    <x v="0"/>
    <x v="17"/>
    <x v="21"/>
    <x v="14"/>
    <x v="0"/>
    <x v="0"/>
    <x v="0"/>
    <x v="0"/>
    <x v="17"/>
    <x v="21"/>
    <x v="14"/>
    <x v="0"/>
    <x v="163"/>
    <x v="163"/>
    <x v="163"/>
    <x v="0"/>
  </r>
  <r>
    <x v="41"/>
    <x v="0"/>
    <x v="41"/>
    <x v="18"/>
    <x v="0"/>
    <x v="17"/>
    <x v="5"/>
    <x v="1"/>
    <x v="0"/>
    <x v="0"/>
    <x v="0"/>
    <x v="0"/>
    <x v="17"/>
    <x v="5"/>
    <x v="1"/>
    <x v="0"/>
    <x v="164"/>
    <x v="164"/>
    <x v="164"/>
    <x v="0"/>
  </r>
  <r>
    <x v="41"/>
    <x v="1"/>
    <x v="41"/>
    <x v="18"/>
    <x v="0"/>
    <x v="20"/>
    <x v="1"/>
    <x v="1"/>
    <x v="0"/>
    <x v="0"/>
    <x v="0"/>
    <x v="0"/>
    <x v="20"/>
    <x v="1"/>
    <x v="1"/>
    <x v="0"/>
    <x v="165"/>
    <x v="165"/>
    <x v="165"/>
    <x v="0"/>
  </r>
  <r>
    <x v="41"/>
    <x v="2"/>
    <x v="41"/>
    <x v="18"/>
    <x v="0"/>
    <x v="17"/>
    <x v="24"/>
    <x v="6"/>
    <x v="0"/>
    <x v="0"/>
    <x v="0"/>
    <x v="0"/>
    <x v="17"/>
    <x v="24"/>
    <x v="6"/>
    <x v="0"/>
    <x v="166"/>
    <x v="166"/>
    <x v="166"/>
    <x v="0"/>
  </r>
  <r>
    <x v="41"/>
    <x v="4"/>
    <x v="41"/>
    <x v="18"/>
    <x v="0"/>
    <x v="17"/>
    <x v="29"/>
    <x v="7"/>
    <x v="0"/>
    <x v="0"/>
    <x v="0"/>
    <x v="0"/>
    <x v="17"/>
    <x v="29"/>
    <x v="7"/>
    <x v="0"/>
    <x v="167"/>
    <x v="167"/>
    <x v="167"/>
    <x v="0"/>
  </r>
  <r>
    <x v="41"/>
    <x v="5"/>
    <x v="41"/>
    <x v="18"/>
    <x v="0"/>
    <x v="17"/>
    <x v="30"/>
    <x v="10"/>
    <x v="0"/>
    <x v="0"/>
    <x v="0"/>
    <x v="0"/>
    <x v="17"/>
    <x v="30"/>
    <x v="10"/>
    <x v="0"/>
    <x v="168"/>
    <x v="168"/>
    <x v="168"/>
    <x v="0"/>
  </r>
  <r>
    <x v="42"/>
    <x v="6"/>
    <x v="42"/>
    <x v="19"/>
    <x v="0"/>
    <x v="17"/>
    <x v="0"/>
    <x v="11"/>
    <x v="0"/>
    <x v="1"/>
    <x v="0"/>
    <x v="0"/>
    <x v="17"/>
    <x v="0"/>
    <x v="11"/>
    <x v="0"/>
    <x v="42"/>
    <x v="42"/>
    <x v="42"/>
    <x v="0"/>
  </r>
  <r>
    <x v="42"/>
    <x v="0"/>
    <x v="42"/>
    <x v="19"/>
    <x v="0"/>
    <x v="52"/>
    <x v="0"/>
    <x v="20"/>
    <x v="0"/>
    <x v="1"/>
    <x v="0"/>
    <x v="0"/>
    <x v="56"/>
    <x v="0"/>
    <x v="20"/>
    <x v="0"/>
    <x v="169"/>
    <x v="169"/>
    <x v="169"/>
    <x v="0"/>
  </r>
  <r>
    <x v="42"/>
    <x v="1"/>
    <x v="42"/>
    <x v="19"/>
    <x v="0"/>
    <x v="24"/>
    <x v="0"/>
    <x v="18"/>
    <x v="0"/>
    <x v="1"/>
    <x v="0"/>
    <x v="0"/>
    <x v="25"/>
    <x v="0"/>
    <x v="18"/>
    <x v="0"/>
    <x v="170"/>
    <x v="170"/>
    <x v="170"/>
    <x v="0"/>
  </r>
  <r>
    <x v="42"/>
    <x v="2"/>
    <x v="42"/>
    <x v="19"/>
    <x v="0"/>
    <x v="28"/>
    <x v="0"/>
    <x v="12"/>
    <x v="0"/>
    <x v="1"/>
    <x v="0"/>
    <x v="0"/>
    <x v="29"/>
    <x v="0"/>
    <x v="12"/>
    <x v="0"/>
    <x v="171"/>
    <x v="171"/>
    <x v="171"/>
    <x v="0"/>
  </r>
  <r>
    <x v="42"/>
    <x v="4"/>
    <x v="42"/>
    <x v="19"/>
    <x v="0"/>
    <x v="66"/>
    <x v="0"/>
    <x v="17"/>
    <x v="0"/>
    <x v="1"/>
    <x v="0"/>
    <x v="0"/>
    <x v="76"/>
    <x v="0"/>
    <x v="17"/>
    <x v="0"/>
    <x v="172"/>
    <x v="172"/>
    <x v="172"/>
    <x v="0"/>
  </r>
  <r>
    <x v="43"/>
    <x v="6"/>
    <x v="43"/>
    <x v="12"/>
    <x v="0"/>
    <x v="3"/>
    <x v="0"/>
    <x v="16"/>
    <x v="0"/>
    <x v="0"/>
    <x v="0"/>
    <x v="0"/>
    <x v="3"/>
    <x v="0"/>
    <x v="16"/>
    <x v="0"/>
    <x v="173"/>
    <x v="173"/>
    <x v="173"/>
    <x v="0"/>
  </r>
  <r>
    <x v="43"/>
    <x v="3"/>
    <x v="43"/>
    <x v="12"/>
    <x v="0"/>
    <x v="54"/>
    <x v="0"/>
    <x v="21"/>
    <x v="0"/>
    <x v="0"/>
    <x v="0"/>
    <x v="0"/>
    <x v="59"/>
    <x v="0"/>
    <x v="21"/>
    <x v="0"/>
    <x v="174"/>
    <x v="174"/>
    <x v="174"/>
    <x v="0"/>
  </r>
  <r>
    <x v="43"/>
    <x v="0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3"/>
    <x v="1"/>
    <x v="43"/>
    <x v="12"/>
    <x v="0"/>
    <x v="14"/>
    <x v="0"/>
    <x v="7"/>
    <x v="0"/>
    <x v="0"/>
    <x v="0"/>
    <x v="0"/>
    <x v="14"/>
    <x v="0"/>
    <x v="7"/>
    <x v="0"/>
    <x v="176"/>
    <x v="176"/>
    <x v="176"/>
    <x v="0"/>
  </r>
  <r>
    <x v="43"/>
    <x v="4"/>
    <x v="43"/>
    <x v="12"/>
    <x v="0"/>
    <x v="32"/>
    <x v="0"/>
    <x v="14"/>
    <x v="0"/>
    <x v="0"/>
    <x v="0"/>
    <x v="0"/>
    <x v="33"/>
    <x v="0"/>
    <x v="14"/>
    <x v="0"/>
    <x v="175"/>
    <x v="175"/>
    <x v="175"/>
    <x v="0"/>
  </r>
  <r>
    <x v="44"/>
    <x v="3"/>
    <x v="44"/>
    <x v="15"/>
    <x v="0"/>
    <x v="47"/>
    <x v="0"/>
    <x v="11"/>
    <x v="0"/>
    <x v="1"/>
    <x v="0"/>
    <x v="0"/>
    <x v="77"/>
    <x v="0"/>
    <x v="11"/>
    <x v="0"/>
    <x v="177"/>
    <x v="177"/>
    <x v="177"/>
    <x v="0"/>
  </r>
  <r>
    <x v="44"/>
    <x v="0"/>
    <x v="44"/>
    <x v="15"/>
    <x v="0"/>
    <x v="46"/>
    <x v="0"/>
    <x v="22"/>
    <x v="0"/>
    <x v="1"/>
    <x v="0"/>
    <x v="0"/>
    <x v="78"/>
    <x v="0"/>
    <x v="22"/>
    <x v="0"/>
    <x v="178"/>
    <x v="178"/>
    <x v="178"/>
    <x v="0"/>
  </r>
  <r>
    <x v="44"/>
    <x v="1"/>
    <x v="44"/>
    <x v="15"/>
    <x v="0"/>
    <x v="34"/>
    <x v="0"/>
    <x v="22"/>
    <x v="0"/>
    <x v="1"/>
    <x v="0"/>
    <x v="0"/>
    <x v="57"/>
    <x v="0"/>
    <x v="22"/>
    <x v="0"/>
    <x v="179"/>
    <x v="179"/>
    <x v="179"/>
    <x v="0"/>
  </r>
  <r>
    <x v="44"/>
    <x v="2"/>
    <x v="44"/>
    <x v="15"/>
    <x v="0"/>
    <x v="24"/>
    <x v="0"/>
    <x v="23"/>
    <x v="0"/>
    <x v="1"/>
    <x v="0"/>
    <x v="0"/>
    <x v="25"/>
    <x v="0"/>
    <x v="23"/>
    <x v="0"/>
    <x v="180"/>
    <x v="180"/>
    <x v="180"/>
    <x v="0"/>
  </r>
  <r>
    <x v="44"/>
    <x v="4"/>
    <x v="44"/>
    <x v="15"/>
    <x v="0"/>
    <x v="15"/>
    <x v="0"/>
    <x v="21"/>
    <x v="0"/>
    <x v="1"/>
    <x v="0"/>
    <x v="0"/>
    <x v="66"/>
    <x v="0"/>
    <x v="21"/>
    <x v="0"/>
    <x v="181"/>
    <x v="181"/>
    <x v="181"/>
    <x v="0"/>
  </r>
  <r>
    <x v="45"/>
    <x v="6"/>
    <x v="45"/>
    <x v="12"/>
    <x v="0"/>
    <x v="37"/>
    <x v="0"/>
    <x v="9"/>
    <x v="0"/>
    <x v="0"/>
    <x v="0"/>
    <x v="0"/>
    <x v="39"/>
    <x v="0"/>
    <x v="9"/>
    <x v="0"/>
    <x v="54"/>
    <x v="54"/>
    <x v="54"/>
    <x v="0"/>
  </r>
  <r>
    <x v="45"/>
    <x v="3"/>
    <x v="45"/>
    <x v="12"/>
    <x v="0"/>
    <x v="30"/>
    <x v="0"/>
    <x v="2"/>
    <x v="0"/>
    <x v="0"/>
    <x v="0"/>
    <x v="0"/>
    <x v="31"/>
    <x v="0"/>
    <x v="2"/>
    <x v="0"/>
    <x v="182"/>
    <x v="182"/>
    <x v="182"/>
    <x v="0"/>
  </r>
  <r>
    <x v="45"/>
    <x v="0"/>
    <x v="45"/>
    <x v="12"/>
    <x v="0"/>
    <x v="27"/>
    <x v="23"/>
    <x v="2"/>
    <x v="0"/>
    <x v="0"/>
    <x v="0"/>
    <x v="0"/>
    <x v="79"/>
    <x v="23"/>
    <x v="2"/>
    <x v="0"/>
    <x v="183"/>
    <x v="183"/>
    <x v="183"/>
    <x v="0"/>
  </r>
  <r>
    <x v="45"/>
    <x v="1"/>
    <x v="45"/>
    <x v="12"/>
    <x v="0"/>
    <x v="67"/>
    <x v="0"/>
    <x v="14"/>
    <x v="0"/>
    <x v="0"/>
    <x v="0"/>
    <x v="0"/>
    <x v="80"/>
    <x v="0"/>
    <x v="14"/>
    <x v="0"/>
    <x v="184"/>
    <x v="184"/>
    <x v="184"/>
    <x v="0"/>
  </r>
  <r>
    <x v="45"/>
    <x v="4"/>
    <x v="45"/>
    <x v="12"/>
    <x v="0"/>
    <x v="68"/>
    <x v="0"/>
    <x v="24"/>
    <x v="0"/>
    <x v="0"/>
    <x v="0"/>
    <x v="0"/>
    <x v="81"/>
    <x v="0"/>
    <x v="24"/>
    <x v="0"/>
    <x v="185"/>
    <x v="185"/>
    <x v="185"/>
    <x v="0"/>
  </r>
  <r>
    <x v="45"/>
    <x v="5"/>
    <x v="45"/>
    <x v="12"/>
    <x v="0"/>
    <x v="44"/>
    <x v="0"/>
    <x v="9"/>
    <x v="0"/>
    <x v="0"/>
    <x v="0"/>
    <x v="0"/>
    <x v="47"/>
    <x v="0"/>
    <x v="9"/>
    <x v="0"/>
    <x v="186"/>
    <x v="186"/>
    <x v="186"/>
    <x v="0"/>
  </r>
  <r>
    <x v="46"/>
    <x v="6"/>
    <x v="46"/>
    <x v="20"/>
    <x v="0"/>
    <x v="61"/>
    <x v="0"/>
    <x v="6"/>
    <x v="0"/>
    <x v="0"/>
    <x v="0"/>
    <x v="0"/>
    <x v="71"/>
    <x v="0"/>
    <x v="6"/>
    <x v="0"/>
    <x v="187"/>
    <x v="187"/>
    <x v="187"/>
    <x v="0"/>
  </r>
  <r>
    <x v="46"/>
    <x v="3"/>
    <x v="46"/>
    <x v="20"/>
    <x v="0"/>
    <x v="5"/>
    <x v="2"/>
    <x v="0"/>
    <x v="0"/>
    <x v="0"/>
    <x v="0"/>
    <x v="0"/>
    <x v="5"/>
    <x v="2"/>
    <x v="0"/>
    <x v="0"/>
    <x v="188"/>
    <x v="188"/>
    <x v="188"/>
    <x v="0"/>
  </r>
  <r>
    <x v="46"/>
    <x v="0"/>
    <x v="46"/>
    <x v="20"/>
    <x v="0"/>
    <x v="58"/>
    <x v="31"/>
    <x v="3"/>
    <x v="0"/>
    <x v="0"/>
    <x v="0"/>
    <x v="0"/>
    <x v="63"/>
    <x v="31"/>
    <x v="3"/>
    <x v="0"/>
    <x v="189"/>
    <x v="189"/>
    <x v="189"/>
    <x v="0"/>
  </r>
  <r>
    <x v="46"/>
    <x v="2"/>
    <x v="46"/>
    <x v="20"/>
    <x v="0"/>
    <x v="12"/>
    <x v="17"/>
    <x v="10"/>
    <x v="0"/>
    <x v="0"/>
    <x v="0"/>
    <x v="0"/>
    <x v="12"/>
    <x v="17"/>
    <x v="10"/>
    <x v="0"/>
    <x v="190"/>
    <x v="190"/>
    <x v="190"/>
    <x v="0"/>
  </r>
  <r>
    <x v="46"/>
    <x v="4"/>
    <x v="46"/>
    <x v="20"/>
    <x v="0"/>
    <x v="41"/>
    <x v="30"/>
    <x v="19"/>
    <x v="0"/>
    <x v="0"/>
    <x v="0"/>
    <x v="0"/>
    <x v="43"/>
    <x v="30"/>
    <x v="19"/>
    <x v="0"/>
    <x v="191"/>
    <x v="191"/>
    <x v="191"/>
    <x v="0"/>
  </r>
  <r>
    <x v="46"/>
    <x v="5"/>
    <x v="46"/>
    <x v="20"/>
    <x v="0"/>
    <x v="65"/>
    <x v="0"/>
    <x v="11"/>
    <x v="0"/>
    <x v="0"/>
    <x v="0"/>
    <x v="0"/>
    <x v="75"/>
    <x v="0"/>
    <x v="11"/>
    <x v="0"/>
    <x v="192"/>
    <x v="192"/>
    <x v="192"/>
    <x v="0"/>
  </r>
  <r>
    <x v="47"/>
    <x v="1"/>
    <x v="47"/>
    <x v="4"/>
    <x v="0"/>
    <x v="60"/>
    <x v="0"/>
    <x v="11"/>
    <x v="0"/>
    <x v="0"/>
    <x v="0"/>
    <x v="0"/>
    <x v="65"/>
    <x v="0"/>
    <x v="11"/>
    <x v="0"/>
    <x v="193"/>
    <x v="193"/>
    <x v="193"/>
    <x v="0"/>
  </r>
  <r>
    <x v="47"/>
    <x v="2"/>
    <x v="47"/>
    <x v="4"/>
    <x v="0"/>
    <x v="57"/>
    <x v="0"/>
    <x v="11"/>
    <x v="0"/>
    <x v="0"/>
    <x v="0"/>
    <x v="0"/>
    <x v="62"/>
    <x v="0"/>
    <x v="11"/>
    <x v="0"/>
    <x v="194"/>
    <x v="194"/>
    <x v="194"/>
    <x v="0"/>
  </r>
  <r>
    <x v="48"/>
    <x v="6"/>
    <x v="48"/>
    <x v="2"/>
    <x v="0"/>
    <x v="6"/>
    <x v="0"/>
    <x v="1"/>
    <x v="0"/>
    <x v="0"/>
    <x v="0"/>
    <x v="0"/>
    <x v="6"/>
    <x v="0"/>
    <x v="1"/>
    <x v="0"/>
    <x v="195"/>
    <x v="195"/>
    <x v="195"/>
    <x v="0"/>
  </r>
  <r>
    <x v="48"/>
    <x v="3"/>
    <x v="48"/>
    <x v="2"/>
    <x v="0"/>
    <x v="10"/>
    <x v="0"/>
    <x v="6"/>
    <x v="0"/>
    <x v="0"/>
    <x v="0"/>
    <x v="0"/>
    <x v="10"/>
    <x v="0"/>
    <x v="6"/>
    <x v="0"/>
    <x v="196"/>
    <x v="196"/>
    <x v="196"/>
    <x v="0"/>
  </r>
  <r>
    <x v="48"/>
    <x v="0"/>
    <x v="48"/>
    <x v="2"/>
    <x v="0"/>
    <x v="10"/>
    <x v="0"/>
    <x v="14"/>
    <x v="0"/>
    <x v="0"/>
    <x v="0"/>
    <x v="0"/>
    <x v="10"/>
    <x v="0"/>
    <x v="14"/>
    <x v="0"/>
    <x v="197"/>
    <x v="197"/>
    <x v="197"/>
    <x v="0"/>
  </r>
  <r>
    <x v="48"/>
    <x v="1"/>
    <x v="48"/>
    <x v="2"/>
    <x v="0"/>
    <x v="14"/>
    <x v="0"/>
    <x v="12"/>
    <x v="0"/>
    <x v="0"/>
    <x v="0"/>
    <x v="0"/>
    <x v="14"/>
    <x v="0"/>
    <x v="12"/>
    <x v="0"/>
    <x v="53"/>
    <x v="53"/>
    <x v="53"/>
    <x v="0"/>
  </r>
  <r>
    <x v="48"/>
    <x v="4"/>
    <x v="48"/>
    <x v="2"/>
    <x v="0"/>
    <x v="41"/>
    <x v="0"/>
    <x v="0"/>
    <x v="0"/>
    <x v="0"/>
    <x v="0"/>
    <x v="0"/>
    <x v="43"/>
    <x v="0"/>
    <x v="0"/>
    <x v="0"/>
    <x v="135"/>
    <x v="135"/>
    <x v="135"/>
    <x v="0"/>
  </r>
  <r>
    <x v="48"/>
    <x v="5"/>
    <x v="48"/>
    <x v="2"/>
    <x v="0"/>
    <x v="9"/>
    <x v="0"/>
    <x v="11"/>
    <x v="0"/>
    <x v="0"/>
    <x v="0"/>
    <x v="0"/>
    <x v="9"/>
    <x v="0"/>
    <x v="11"/>
    <x v="0"/>
    <x v="198"/>
    <x v="198"/>
    <x v="198"/>
    <x v="0"/>
  </r>
  <r>
    <x v="49"/>
    <x v="6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3"/>
    <x v="49"/>
    <x v="21"/>
    <x v="3"/>
    <x v="4"/>
    <x v="0"/>
    <x v="8"/>
    <x v="0"/>
    <x v="0"/>
    <x v="0"/>
    <x v="0"/>
    <x v="4"/>
    <x v="0"/>
    <x v="8"/>
    <x v="0"/>
    <x v="60"/>
    <x v="60"/>
    <x v="60"/>
    <x v="0"/>
  </r>
  <r>
    <x v="49"/>
    <x v="0"/>
    <x v="49"/>
    <x v="21"/>
    <x v="3"/>
    <x v="19"/>
    <x v="0"/>
    <x v="11"/>
    <x v="0"/>
    <x v="0"/>
    <x v="0"/>
    <x v="0"/>
    <x v="19"/>
    <x v="0"/>
    <x v="11"/>
    <x v="0"/>
    <x v="67"/>
    <x v="67"/>
    <x v="67"/>
    <x v="0"/>
  </r>
  <r>
    <x v="49"/>
    <x v="1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2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4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49"/>
    <x v="5"/>
    <x v="49"/>
    <x v="21"/>
    <x v="3"/>
    <x v="17"/>
    <x v="0"/>
    <x v="11"/>
    <x v="0"/>
    <x v="0"/>
    <x v="0"/>
    <x v="0"/>
    <x v="17"/>
    <x v="0"/>
    <x v="11"/>
    <x v="0"/>
    <x v="42"/>
    <x v="42"/>
    <x v="42"/>
    <x v="0"/>
  </r>
  <r>
    <x v="50"/>
    <x v="4"/>
    <x v="50"/>
    <x v="20"/>
    <x v="0"/>
    <x v="35"/>
    <x v="18"/>
    <x v="4"/>
    <x v="0"/>
    <x v="0"/>
    <x v="0"/>
    <x v="0"/>
    <x v="37"/>
    <x v="18"/>
    <x v="4"/>
    <x v="0"/>
    <x v="199"/>
    <x v="199"/>
    <x v="199"/>
    <x v="0"/>
  </r>
  <r>
    <x v="50"/>
    <x v="5"/>
    <x v="50"/>
    <x v="20"/>
    <x v="0"/>
    <x v="3"/>
    <x v="0"/>
    <x v="0"/>
    <x v="0"/>
    <x v="0"/>
    <x v="0"/>
    <x v="0"/>
    <x v="3"/>
    <x v="0"/>
    <x v="0"/>
    <x v="0"/>
    <x v="200"/>
    <x v="200"/>
    <x v="200"/>
    <x v="0"/>
  </r>
  <r>
    <x v="51"/>
    <x v="3"/>
    <x v="51"/>
    <x v="0"/>
    <x v="0"/>
    <x v="19"/>
    <x v="11"/>
    <x v="11"/>
    <x v="0"/>
    <x v="0"/>
    <x v="0"/>
    <x v="0"/>
    <x v="19"/>
    <x v="11"/>
    <x v="11"/>
    <x v="0"/>
    <x v="201"/>
    <x v="201"/>
    <x v="201"/>
    <x v="0"/>
  </r>
  <r>
    <x v="51"/>
    <x v="0"/>
    <x v="51"/>
    <x v="0"/>
    <x v="0"/>
    <x v="17"/>
    <x v="26"/>
    <x v="8"/>
    <x v="0"/>
    <x v="0"/>
    <x v="0"/>
    <x v="0"/>
    <x v="17"/>
    <x v="26"/>
    <x v="8"/>
    <x v="0"/>
    <x v="202"/>
    <x v="202"/>
    <x v="202"/>
    <x v="0"/>
  </r>
  <r>
    <x v="51"/>
    <x v="1"/>
    <x v="51"/>
    <x v="0"/>
    <x v="0"/>
    <x v="17"/>
    <x v="1"/>
    <x v="11"/>
    <x v="0"/>
    <x v="0"/>
    <x v="0"/>
    <x v="0"/>
    <x v="17"/>
    <x v="1"/>
    <x v="11"/>
    <x v="0"/>
    <x v="203"/>
    <x v="203"/>
    <x v="203"/>
    <x v="0"/>
  </r>
  <r>
    <x v="51"/>
    <x v="2"/>
    <x v="51"/>
    <x v="0"/>
    <x v="0"/>
    <x v="19"/>
    <x v="13"/>
    <x v="11"/>
    <x v="0"/>
    <x v="0"/>
    <x v="0"/>
    <x v="0"/>
    <x v="19"/>
    <x v="13"/>
    <x v="11"/>
    <x v="0"/>
    <x v="121"/>
    <x v="121"/>
    <x v="121"/>
    <x v="0"/>
  </r>
  <r>
    <x v="51"/>
    <x v="4"/>
    <x v="51"/>
    <x v="0"/>
    <x v="0"/>
    <x v="17"/>
    <x v="31"/>
    <x v="10"/>
    <x v="0"/>
    <x v="0"/>
    <x v="0"/>
    <x v="0"/>
    <x v="17"/>
    <x v="31"/>
    <x v="10"/>
    <x v="0"/>
    <x v="204"/>
    <x v="204"/>
    <x v="204"/>
    <x v="0"/>
  </r>
  <r>
    <x v="51"/>
    <x v="5"/>
    <x v="51"/>
    <x v="0"/>
    <x v="0"/>
    <x v="17"/>
    <x v="31"/>
    <x v="16"/>
    <x v="0"/>
    <x v="0"/>
    <x v="0"/>
    <x v="0"/>
    <x v="17"/>
    <x v="31"/>
    <x v="16"/>
    <x v="0"/>
    <x v="205"/>
    <x v="205"/>
    <x v="205"/>
    <x v="0"/>
  </r>
  <r>
    <x v="52"/>
    <x v="6"/>
    <x v="52"/>
    <x v="6"/>
    <x v="0"/>
    <x v="16"/>
    <x v="22"/>
    <x v="8"/>
    <x v="0"/>
    <x v="0"/>
    <x v="0"/>
    <x v="0"/>
    <x v="16"/>
    <x v="22"/>
    <x v="8"/>
    <x v="0"/>
    <x v="149"/>
    <x v="149"/>
    <x v="149"/>
    <x v="0"/>
  </r>
  <r>
    <x v="52"/>
    <x v="1"/>
    <x v="52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3"/>
    <x v="6"/>
    <x v="53"/>
    <x v="6"/>
    <x v="0"/>
    <x v="0"/>
    <x v="0"/>
    <x v="10"/>
    <x v="0"/>
    <x v="0"/>
    <x v="0"/>
    <x v="0"/>
    <x v="0"/>
    <x v="0"/>
    <x v="10"/>
    <x v="0"/>
    <x v="120"/>
    <x v="120"/>
    <x v="120"/>
    <x v="0"/>
  </r>
  <r>
    <x v="53"/>
    <x v="2"/>
    <x v="53"/>
    <x v="6"/>
    <x v="0"/>
    <x v="1"/>
    <x v="0"/>
    <x v="0"/>
    <x v="0"/>
    <x v="0"/>
    <x v="0"/>
    <x v="0"/>
    <x v="1"/>
    <x v="0"/>
    <x v="0"/>
    <x v="0"/>
    <x v="1"/>
    <x v="1"/>
    <x v="1"/>
    <x v="0"/>
  </r>
  <r>
    <x v="53"/>
    <x v="5"/>
    <x v="53"/>
    <x v="6"/>
    <x v="0"/>
    <x v="43"/>
    <x v="0"/>
    <x v="7"/>
    <x v="0"/>
    <x v="0"/>
    <x v="0"/>
    <x v="0"/>
    <x v="46"/>
    <x v="0"/>
    <x v="7"/>
    <x v="0"/>
    <x v="206"/>
    <x v="206"/>
    <x v="206"/>
    <x v="0"/>
  </r>
  <r>
    <x v="54"/>
    <x v="0"/>
    <x v="54"/>
    <x v="6"/>
    <x v="0"/>
    <x v="17"/>
    <x v="12"/>
    <x v="11"/>
    <x v="0"/>
    <x v="0"/>
    <x v="0"/>
    <x v="0"/>
    <x v="17"/>
    <x v="12"/>
    <x v="11"/>
    <x v="0"/>
    <x v="207"/>
    <x v="207"/>
    <x v="207"/>
    <x v="0"/>
  </r>
  <r>
    <x v="54"/>
    <x v="5"/>
    <x v="54"/>
    <x v="6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6"/>
    <x v="55"/>
    <x v="6"/>
    <x v="0"/>
    <x v="12"/>
    <x v="0"/>
    <x v="16"/>
    <x v="0"/>
    <x v="0"/>
    <x v="0"/>
    <x v="0"/>
    <x v="12"/>
    <x v="0"/>
    <x v="16"/>
    <x v="0"/>
    <x v="208"/>
    <x v="208"/>
    <x v="208"/>
    <x v="0"/>
  </r>
  <r>
    <x v="55"/>
    <x v="3"/>
    <x v="55"/>
    <x v="6"/>
    <x v="0"/>
    <x v="8"/>
    <x v="0"/>
    <x v="8"/>
    <x v="0"/>
    <x v="0"/>
    <x v="0"/>
    <x v="0"/>
    <x v="8"/>
    <x v="0"/>
    <x v="8"/>
    <x v="0"/>
    <x v="209"/>
    <x v="209"/>
    <x v="209"/>
    <x v="0"/>
  </r>
  <r>
    <x v="55"/>
    <x v="0"/>
    <x v="55"/>
    <x v="6"/>
    <x v="0"/>
    <x v="15"/>
    <x v="0"/>
    <x v="0"/>
    <x v="0"/>
    <x v="0"/>
    <x v="0"/>
    <x v="0"/>
    <x v="15"/>
    <x v="0"/>
    <x v="0"/>
    <x v="0"/>
    <x v="142"/>
    <x v="142"/>
    <x v="142"/>
    <x v="0"/>
  </r>
  <r>
    <x v="55"/>
    <x v="1"/>
    <x v="55"/>
    <x v="6"/>
    <x v="0"/>
    <x v="11"/>
    <x v="0"/>
    <x v="12"/>
    <x v="0"/>
    <x v="0"/>
    <x v="0"/>
    <x v="0"/>
    <x v="11"/>
    <x v="0"/>
    <x v="12"/>
    <x v="0"/>
    <x v="210"/>
    <x v="210"/>
    <x v="210"/>
    <x v="0"/>
  </r>
  <r>
    <x v="55"/>
    <x v="2"/>
    <x v="55"/>
    <x v="6"/>
    <x v="0"/>
    <x v="7"/>
    <x v="0"/>
    <x v="3"/>
    <x v="0"/>
    <x v="0"/>
    <x v="0"/>
    <x v="0"/>
    <x v="7"/>
    <x v="0"/>
    <x v="3"/>
    <x v="0"/>
    <x v="211"/>
    <x v="211"/>
    <x v="211"/>
    <x v="0"/>
  </r>
  <r>
    <x v="55"/>
    <x v="4"/>
    <x v="55"/>
    <x v="6"/>
    <x v="0"/>
    <x v="64"/>
    <x v="0"/>
    <x v="9"/>
    <x v="0"/>
    <x v="0"/>
    <x v="0"/>
    <x v="0"/>
    <x v="74"/>
    <x v="0"/>
    <x v="9"/>
    <x v="0"/>
    <x v="188"/>
    <x v="188"/>
    <x v="188"/>
    <x v="0"/>
  </r>
  <r>
    <x v="55"/>
    <x v="5"/>
    <x v="55"/>
    <x v="6"/>
    <x v="0"/>
    <x v="46"/>
    <x v="0"/>
    <x v="1"/>
    <x v="0"/>
    <x v="0"/>
    <x v="0"/>
    <x v="0"/>
    <x v="49"/>
    <x v="0"/>
    <x v="1"/>
    <x v="0"/>
    <x v="212"/>
    <x v="212"/>
    <x v="212"/>
    <x v="0"/>
  </r>
  <r>
    <x v="56"/>
    <x v="6"/>
    <x v="56"/>
    <x v="8"/>
    <x v="0"/>
    <x v="44"/>
    <x v="0"/>
    <x v="17"/>
    <x v="0"/>
    <x v="0"/>
    <x v="0"/>
    <x v="0"/>
    <x v="47"/>
    <x v="0"/>
    <x v="17"/>
    <x v="0"/>
    <x v="77"/>
    <x v="77"/>
    <x v="77"/>
    <x v="0"/>
  </r>
  <r>
    <x v="56"/>
    <x v="3"/>
    <x v="56"/>
    <x v="8"/>
    <x v="0"/>
    <x v="19"/>
    <x v="0"/>
    <x v="11"/>
    <x v="0"/>
    <x v="0"/>
    <x v="0"/>
    <x v="0"/>
    <x v="19"/>
    <x v="0"/>
    <x v="11"/>
    <x v="0"/>
    <x v="67"/>
    <x v="67"/>
    <x v="67"/>
    <x v="0"/>
  </r>
  <r>
    <x v="56"/>
    <x v="1"/>
    <x v="56"/>
    <x v="8"/>
    <x v="0"/>
    <x v="17"/>
    <x v="0"/>
    <x v="11"/>
    <x v="0"/>
    <x v="0"/>
    <x v="0"/>
    <x v="0"/>
    <x v="17"/>
    <x v="0"/>
    <x v="11"/>
    <x v="0"/>
    <x v="42"/>
    <x v="42"/>
    <x v="42"/>
    <x v="0"/>
  </r>
  <r>
    <x v="56"/>
    <x v="4"/>
    <x v="56"/>
    <x v="8"/>
    <x v="0"/>
    <x v="13"/>
    <x v="0"/>
    <x v="11"/>
    <x v="0"/>
    <x v="0"/>
    <x v="0"/>
    <x v="0"/>
    <x v="13"/>
    <x v="0"/>
    <x v="11"/>
    <x v="0"/>
    <x v="213"/>
    <x v="213"/>
    <x v="213"/>
    <x v="0"/>
  </r>
  <r>
    <x v="56"/>
    <x v="5"/>
    <x v="56"/>
    <x v="8"/>
    <x v="0"/>
    <x v="10"/>
    <x v="0"/>
    <x v="7"/>
    <x v="0"/>
    <x v="0"/>
    <x v="0"/>
    <x v="0"/>
    <x v="10"/>
    <x v="0"/>
    <x v="7"/>
    <x v="0"/>
    <x v="214"/>
    <x v="214"/>
    <x v="214"/>
    <x v="0"/>
  </r>
  <r>
    <x v="57"/>
    <x v="0"/>
    <x v="57"/>
    <x v="22"/>
    <x v="0"/>
    <x v="15"/>
    <x v="0"/>
    <x v="10"/>
    <x v="0"/>
    <x v="0"/>
    <x v="0"/>
    <x v="0"/>
    <x v="15"/>
    <x v="0"/>
    <x v="10"/>
    <x v="0"/>
    <x v="18"/>
    <x v="18"/>
    <x v="18"/>
    <x v="0"/>
  </r>
  <r>
    <x v="57"/>
    <x v="1"/>
    <x v="57"/>
    <x v="22"/>
    <x v="0"/>
    <x v="1"/>
    <x v="0"/>
    <x v="0"/>
    <x v="0"/>
    <x v="0"/>
    <x v="0"/>
    <x v="0"/>
    <x v="1"/>
    <x v="0"/>
    <x v="0"/>
    <x v="0"/>
    <x v="1"/>
    <x v="1"/>
    <x v="1"/>
    <x v="0"/>
  </r>
  <r>
    <x v="57"/>
    <x v="2"/>
    <x v="57"/>
    <x v="22"/>
    <x v="0"/>
    <x v="1"/>
    <x v="0"/>
    <x v="9"/>
    <x v="0"/>
    <x v="0"/>
    <x v="0"/>
    <x v="0"/>
    <x v="1"/>
    <x v="0"/>
    <x v="9"/>
    <x v="0"/>
    <x v="215"/>
    <x v="215"/>
    <x v="215"/>
    <x v="0"/>
  </r>
  <r>
    <x v="57"/>
    <x v="4"/>
    <x v="57"/>
    <x v="22"/>
    <x v="0"/>
    <x v="22"/>
    <x v="0"/>
    <x v="10"/>
    <x v="0"/>
    <x v="0"/>
    <x v="0"/>
    <x v="0"/>
    <x v="22"/>
    <x v="0"/>
    <x v="10"/>
    <x v="0"/>
    <x v="88"/>
    <x v="88"/>
    <x v="88"/>
    <x v="0"/>
  </r>
  <r>
    <x v="57"/>
    <x v="5"/>
    <x v="57"/>
    <x v="22"/>
    <x v="0"/>
    <x v="15"/>
    <x v="0"/>
    <x v="7"/>
    <x v="0"/>
    <x v="0"/>
    <x v="0"/>
    <x v="0"/>
    <x v="15"/>
    <x v="0"/>
    <x v="7"/>
    <x v="0"/>
    <x v="216"/>
    <x v="216"/>
    <x v="216"/>
    <x v="0"/>
  </r>
  <r>
    <x v="58"/>
    <x v="3"/>
    <x v="58"/>
    <x v="6"/>
    <x v="0"/>
    <x v="17"/>
    <x v="0"/>
    <x v="11"/>
    <x v="0"/>
    <x v="0"/>
    <x v="0"/>
    <x v="0"/>
    <x v="17"/>
    <x v="0"/>
    <x v="11"/>
    <x v="0"/>
    <x v="42"/>
    <x v="42"/>
    <x v="42"/>
    <x v="0"/>
  </r>
  <r>
    <x v="58"/>
    <x v="0"/>
    <x v="58"/>
    <x v="6"/>
    <x v="0"/>
    <x v="20"/>
    <x v="0"/>
    <x v="6"/>
    <x v="0"/>
    <x v="0"/>
    <x v="0"/>
    <x v="0"/>
    <x v="20"/>
    <x v="0"/>
    <x v="6"/>
    <x v="0"/>
    <x v="217"/>
    <x v="217"/>
    <x v="217"/>
    <x v="0"/>
  </r>
  <r>
    <x v="58"/>
    <x v="2"/>
    <x v="58"/>
    <x v="6"/>
    <x v="0"/>
    <x v="65"/>
    <x v="0"/>
    <x v="11"/>
    <x v="0"/>
    <x v="0"/>
    <x v="0"/>
    <x v="0"/>
    <x v="75"/>
    <x v="0"/>
    <x v="11"/>
    <x v="0"/>
    <x v="192"/>
    <x v="192"/>
    <x v="192"/>
    <x v="0"/>
  </r>
  <r>
    <x v="58"/>
    <x v="4"/>
    <x v="58"/>
    <x v="6"/>
    <x v="0"/>
    <x v="2"/>
    <x v="0"/>
    <x v="6"/>
    <x v="0"/>
    <x v="0"/>
    <x v="0"/>
    <x v="0"/>
    <x v="2"/>
    <x v="0"/>
    <x v="6"/>
    <x v="0"/>
    <x v="218"/>
    <x v="218"/>
    <x v="218"/>
    <x v="0"/>
  </r>
  <r>
    <x v="58"/>
    <x v="5"/>
    <x v="58"/>
    <x v="6"/>
    <x v="0"/>
    <x v="59"/>
    <x v="0"/>
    <x v="1"/>
    <x v="0"/>
    <x v="0"/>
    <x v="0"/>
    <x v="0"/>
    <x v="64"/>
    <x v="0"/>
    <x v="1"/>
    <x v="0"/>
    <x v="219"/>
    <x v="219"/>
    <x v="219"/>
    <x v="0"/>
  </r>
  <r>
    <x v="59"/>
    <x v="6"/>
    <x v="59"/>
    <x v="8"/>
    <x v="0"/>
    <x v="31"/>
    <x v="0"/>
    <x v="8"/>
    <x v="0"/>
    <x v="0"/>
    <x v="0"/>
    <x v="0"/>
    <x v="32"/>
    <x v="0"/>
    <x v="8"/>
    <x v="0"/>
    <x v="220"/>
    <x v="220"/>
    <x v="220"/>
    <x v="0"/>
  </r>
  <r>
    <x v="59"/>
    <x v="0"/>
    <x v="59"/>
    <x v="8"/>
    <x v="0"/>
    <x v="3"/>
    <x v="6"/>
    <x v="9"/>
    <x v="0"/>
    <x v="0"/>
    <x v="0"/>
    <x v="0"/>
    <x v="3"/>
    <x v="6"/>
    <x v="9"/>
    <x v="0"/>
    <x v="221"/>
    <x v="221"/>
    <x v="221"/>
    <x v="0"/>
  </r>
  <r>
    <x v="59"/>
    <x v="1"/>
    <x v="59"/>
    <x v="8"/>
    <x v="0"/>
    <x v="10"/>
    <x v="0"/>
    <x v="16"/>
    <x v="0"/>
    <x v="0"/>
    <x v="0"/>
    <x v="0"/>
    <x v="10"/>
    <x v="0"/>
    <x v="16"/>
    <x v="0"/>
    <x v="222"/>
    <x v="222"/>
    <x v="222"/>
    <x v="0"/>
  </r>
  <r>
    <x v="59"/>
    <x v="2"/>
    <x v="59"/>
    <x v="8"/>
    <x v="0"/>
    <x v="28"/>
    <x v="0"/>
    <x v="3"/>
    <x v="0"/>
    <x v="0"/>
    <x v="0"/>
    <x v="0"/>
    <x v="44"/>
    <x v="0"/>
    <x v="3"/>
    <x v="0"/>
    <x v="65"/>
    <x v="65"/>
    <x v="65"/>
    <x v="0"/>
  </r>
  <r>
    <x v="59"/>
    <x v="4"/>
    <x v="59"/>
    <x v="8"/>
    <x v="0"/>
    <x v="10"/>
    <x v="9"/>
    <x v="8"/>
    <x v="0"/>
    <x v="0"/>
    <x v="0"/>
    <x v="0"/>
    <x v="10"/>
    <x v="9"/>
    <x v="8"/>
    <x v="0"/>
    <x v="223"/>
    <x v="223"/>
    <x v="223"/>
    <x v="0"/>
  </r>
  <r>
    <x v="59"/>
    <x v="5"/>
    <x v="59"/>
    <x v="8"/>
    <x v="0"/>
    <x v="44"/>
    <x v="1"/>
    <x v="13"/>
    <x v="0"/>
    <x v="0"/>
    <x v="0"/>
    <x v="0"/>
    <x v="47"/>
    <x v="1"/>
    <x v="13"/>
    <x v="0"/>
    <x v="224"/>
    <x v="224"/>
    <x v="224"/>
    <x v="0"/>
  </r>
  <r>
    <x v="60"/>
    <x v="6"/>
    <x v="60"/>
    <x v="23"/>
    <x v="0"/>
    <x v="9"/>
    <x v="0"/>
    <x v="6"/>
    <x v="0"/>
    <x v="0"/>
    <x v="0"/>
    <x v="0"/>
    <x v="9"/>
    <x v="0"/>
    <x v="6"/>
    <x v="0"/>
    <x v="87"/>
    <x v="87"/>
    <x v="87"/>
    <x v="0"/>
  </r>
  <r>
    <x v="60"/>
    <x v="3"/>
    <x v="60"/>
    <x v="23"/>
    <x v="0"/>
    <x v="9"/>
    <x v="0"/>
    <x v="4"/>
    <x v="0"/>
    <x v="0"/>
    <x v="0"/>
    <x v="0"/>
    <x v="9"/>
    <x v="0"/>
    <x v="4"/>
    <x v="0"/>
    <x v="225"/>
    <x v="225"/>
    <x v="225"/>
    <x v="0"/>
  </r>
  <r>
    <x v="60"/>
    <x v="1"/>
    <x v="60"/>
    <x v="23"/>
    <x v="0"/>
    <x v="20"/>
    <x v="26"/>
    <x v="1"/>
    <x v="0"/>
    <x v="0"/>
    <x v="0"/>
    <x v="0"/>
    <x v="20"/>
    <x v="26"/>
    <x v="1"/>
    <x v="0"/>
    <x v="99"/>
    <x v="99"/>
    <x v="99"/>
    <x v="0"/>
  </r>
  <r>
    <x v="60"/>
    <x v="2"/>
    <x v="60"/>
    <x v="23"/>
    <x v="0"/>
    <x v="17"/>
    <x v="13"/>
    <x v="12"/>
    <x v="0"/>
    <x v="0"/>
    <x v="0"/>
    <x v="0"/>
    <x v="17"/>
    <x v="13"/>
    <x v="12"/>
    <x v="0"/>
    <x v="226"/>
    <x v="226"/>
    <x v="226"/>
    <x v="0"/>
  </r>
  <r>
    <x v="60"/>
    <x v="4"/>
    <x v="60"/>
    <x v="23"/>
    <x v="0"/>
    <x v="17"/>
    <x v="31"/>
    <x v="8"/>
    <x v="0"/>
    <x v="0"/>
    <x v="0"/>
    <x v="0"/>
    <x v="17"/>
    <x v="31"/>
    <x v="8"/>
    <x v="0"/>
    <x v="18"/>
    <x v="18"/>
    <x v="18"/>
    <x v="0"/>
  </r>
  <r>
    <x v="61"/>
    <x v="6"/>
    <x v="61"/>
    <x v="6"/>
    <x v="0"/>
    <x v="53"/>
    <x v="0"/>
    <x v="0"/>
    <x v="0"/>
    <x v="0"/>
    <x v="0"/>
    <x v="0"/>
    <x v="58"/>
    <x v="0"/>
    <x v="0"/>
    <x v="0"/>
    <x v="227"/>
    <x v="227"/>
    <x v="227"/>
    <x v="0"/>
  </r>
  <r>
    <x v="61"/>
    <x v="3"/>
    <x v="61"/>
    <x v="6"/>
    <x v="0"/>
    <x v="58"/>
    <x v="0"/>
    <x v="1"/>
    <x v="0"/>
    <x v="0"/>
    <x v="0"/>
    <x v="0"/>
    <x v="63"/>
    <x v="0"/>
    <x v="1"/>
    <x v="0"/>
    <x v="118"/>
    <x v="118"/>
    <x v="118"/>
    <x v="0"/>
  </r>
  <r>
    <x v="61"/>
    <x v="0"/>
    <x v="61"/>
    <x v="6"/>
    <x v="0"/>
    <x v="37"/>
    <x v="23"/>
    <x v="6"/>
    <x v="0"/>
    <x v="0"/>
    <x v="0"/>
    <x v="0"/>
    <x v="39"/>
    <x v="23"/>
    <x v="6"/>
    <x v="0"/>
    <x v="228"/>
    <x v="228"/>
    <x v="228"/>
    <x v="0"/>
  </r>
  <r>
    <x v="61"/>
    <x v="1"/>
    <x v="61"/>
    <x v="6"/>
    <x v="0"/>
    <x v="53"/>
    <x v="13"/>
    <x v="3"/>
    <x v="0"/>
    <x v="0"/>
    <x v="0"/>
    <x v="0"/>
    <x v="58"/>
    <x v="13"/>
    <x v="3"/>
    <x v="0"/>
    <x v="166"/>
    <x v="166"/>
    <x v="166"/>
    <x v="0"/>
  </r>
  <r>
    <x v="61"/>
    <x v="2"/>
    <x v="61"/>
    <x v="6"/>
    <x v="0"/>
    <x v="22"/>
    <x v="0"/>
    <x v="8"/>
    <x v="0"/>
    <x v="0"/>
    <x v="0"/>
    <x v="0"/>
    <x v="22"/>
    <x v="0"/>
    <x v="8"/>
    <x v="0"/>
    <x v="229"/>
    <x v="229"/>
    <x v="229"/>
    <x v="0"/>
  </r>
  <r>
    <x v="61"/>
    <x v="4"/>
    <x v="61"/>
    <x v="6"/>
    <x v="0"/>
    <x v="61"/>
    <x v="0"/>
    <x v="1"/>
    <x v="0"/>
    <x v="0"/>
    <x v="0"/>
    <x v="0"/>
    <x v="71"/>
    <x v="0"/>
    <x v="1"/>
    <x v="0"/>
    <x v="154"/>
    <x v="154"/>
    <x v="154"/>
    <x v="0"/>
  </r>
  <r>
    <x v="61"/>
    <x v="5"/>
    <x v="61"/>
    <x v="6"/>
    <x v="0"/>
    <x v="61"/>
    <x v="0"/>
    <x v="6"/>
    <x v="0"/>
    <x v="0"/>
    <x v="0"/>
    <x v="0"/>
    <x v="71"/>
    <x v="0"/>
    <x v="6"/>
    <x v="0"/>
    <x v="187"/>
    <x v="187"/>
    <x v="187"/>
    <x v="0"/>
  </r>
  <r>
    <x v="62"/>
    <x v="6"/>
    <x v="62"/>
    <x v="12"/>
    <x v="0"/>
    <x v="60"/>
    <x v="8"/>
    <x v="3"/>
    <x v="0"/>
    <x v="0"/>
    <x v="0"/>
    <x v="0"/>
    <x v="65"/>
    <x v="8"/>
    <x v="3"/>
    <x v="0"/>
    <x v="20"/>
    <x v="20"/>
    <x v="20"/>
    <x v="0"/>
  </r>
  <r>
    <x v="62"/>
    <x v="3"/>
    <x v="62"/>
    <x v="12"/>
    <x v="0"/>
    <x v="19"/>
    <x v="18"/>
    <x v="11"/>
    <x v="0"/>
    <x v="0"/>
    <x v="0"/>
    <x v="0"/>
    <x v="19"/>
    <x v="18"/>
    <x v="11"/>
    <x v="0"/>
    <x v="230"/>
    <x v="230"/>
    <x v="230"/>
    <x v="0"/>
  </r>
  <r>
    <x v="62"/>
    <x v="0"/>
    <x v="62"/>
    <x v="12"/>
    <x v="0"/>
    <x v="59"/>
    <x v="0"/>
    <x v="6"/>
    <x v="0"/>
    <x v="0"/>
    <x v="0"/>
    <x v="0"/>
    <x v="64"/>
    <x v="0"/>
    <x v="6"/>
    <x v="0"/>
    <x v="119"/>
    <x v="119"/>
    <x v="119"/>
    <x v="0"/>
  </r>
  <r>
    <x v="62"/>
    <x v="2"/>
    <x v="62"/>
    <x v="12"/>
    <x v="0"/>
    <x v="57"/>
    <x v="0"/>
    <x v="1"/>
    <x v="0"/>
    <x v="0"/>
    <x v="0"/>
    <x v="0"/>
    <x v="62"/>
    <x v="0"/>
    <x v="1"/>
    <x v="0"/>
    <x v="231"/>
    <x v="231"/>
    <x v="231"/>
    <x v="0"/>
  </r>
  <r>
    <x v="62"/>
    <x v="4"/>
    <x v="62"/>
    <x v="12"/>
    <x v="0"/>
    <x v="62"/>
    <x v="0"/>
    <x v="8"/>
    <x v="0"/>
    <x v="0"/>
    <x v="0"/>
    <x v="0"/>
    <x v="72"/>
    <x v="0"/>
    <x v="8"/>
    <x v="0"/>
    <x v="232"/>
    <x v="232"/>
    <x v="232"/>
    <x v="0"/>
  </r>
  <r>
    <x v="62"/>
    <x v="5"/>
    <x v="62"/>
    <x v="12"/>
    <x v="0"/>
    <x v="69"/>
    <x v="0"/>
    <x v="11"/>
    <x v="0"/>
    <x v="0"/>
    <x v="0"/>
    <x v="0"/>
    <x v="82"/>
    <x v="0"/>
    <x v="11"/>
    <x v="0"/>
    <x v="233"/>
    <x v="233"/>
    <x v="233"/>
    <x v="0"/>
  </r>
  <r>
    <x v="63"/>
    <x v="1"/>
    <x v="63"/>
    <x v="24"/>
    <x v="0"/>
    <x v="1"/>
    <x v="0"/>
    <x v="6"/>
    <x v="0"/>
    <x v="0"/>
    <x v="0"/>
    <x v="0"/>
    <x v="1"/>
    <x v="0"/>
    <x v="6"/>
    <x v="0"/>
    <x v="148"/>
    <x v="148"/>
    <x v="148"/>
    <x v="0"/>
  </r>
  <r>
    <x v="64"/>
    <x v="6"/>
    <x v="64"/>
    <x v="25"/>
    <x v="3"/>
    <x v="17"/>
    <x v="1"/>
    <x v="3"/>
    <x v="0"/>
    <x v="0"/>
    <x v="0"/>
    <x v="0"/>
    <x v="17"/>
    <x v="1"/>
    <x v="3"/>
    <x v="0"/>
    <x v="234"/>
    <x v="234"/>
    <x v="234"/>
    <x v="0"/>
  </r>
  <r>
    <x v="64"/>
    <x v="3"/>
    <x v="64"/>
    <x v="25"/>
    <x v="3"/>
    <x v="61"/>
    <x v="4"/>
    <x v="1"/>
    <x v="0"/>
    <x v="0"/>
    <x v="0"/>
    <x v="0"/>
    <x v="71"/>
    <x v="4"/>
    <x v="1"/>
    <x v="0"/>
    <x v="235"/>
    <x v="235"/>
    <x v="235"/>
    <x v="0"/>
  </r>
  <r>
    <x v="64"/>
    <x v="0"/>
    <x v="64"/>
    <x v="25"/>
    <x v="3"/>
    <x v="19"/>
    <x v="8"/>
    <x v="11"/>
    <x v="0"/>
    <x v="0"/>
    <x v="0"/>
    <x v="0"/>
    <x v="19"/>
    <x v="8"/>
    <x v="11"/>
    <x v="0"/>
    <x v="236"/>
    <x v="236"/>
    <x v="236"/>
    <x v="0"/>
  </r>
  <r>
    <x v="64"/>
    <x v="1"/>
    <x v="64"/>
    <x v="25"/>
    <x v="3"/>
    <x v="17"/>
    <x v="11"/>
    <x v="8"/>
    <x v="0"/>
    <x v="0"/>
    <x v="0"/>
    <x v="0"/>
    <x v="17"/>
    <x v="11"/>
    <x v="8"/>
    <x v="0"/>
    <x v="237"/>
    <x v="237"/>
    <x v="237"/>
    <x v="0"/>
  </r>
  <r>
    <x v="64"/>
    <x v="2"/>
    <x v="64"/>
    <x v="25"/>
    <x v="3"/>
    <x v="17"/>
    <x v="11"/>
    <x v="6"/>
    <x v="0"/>
    <x v="0"/>
    <x v="0"/>
    <x v="0"/>
    <x v="17"/>
    <x v="11"/>
    <x v="6"/>
    <x v="0"/>
    <x v="238"/>
    <x v="238"/>
    <x v="238"/>
    <x v="0"/>
  </r>
  <r>
    <x v="64"/>
    <x v="4"/>
    <x v="64"/>
    <x v="25"/>
    <x v="3"/>
    <x v="17"/>
    <x v="7"/>
    <x v="8"/>
    <x v="0"/>
    <x v="0"/>
    <x v="0"/>
    <x v="0"/>
    <x v="17"/>
    <x v="7"/>
    <x v="8"/>
    <x v="0"/>
    <x v="31"/>
    <x v="31"/>
    <x v="31"/>
    <x v="0"/>
  </r>
  <r>
    <x v="64"/>
    <x v="5"/>
    <x v="64"/>
    <x v="25"/>
    <x v="3"/>
    <x v="17"/>
    <x v="5"/>
    <x v="8"/>
    <x v="0"/>
    <x v="0"/>
    <x v="0"/>
    <x v="0"/>
    <x v="17"/>
    <x v="5"/>
    <x v="8"/>
    <x v="0"/>
    <x v="239"/>
    <x v="239"/>
    <x v="239"/>
    <x v="0"/>
  </r>
  <r>
    <x v="65"/>
    <x v="6"/>
    <x v="65"/>
    <x v="26"/>
    <x v="3"/>
    <x v="53"/>
    <x v="26"/>
    <x v="6"/>
    <x v="0"/>
    <x v="0"/>
    <x v="0"/>
    <x v="0"/>
    <x v="58"/>
    <x v="26"/>
    <x v="6"/>
    <x v="0"/>
    <x v="240"/>
    <x v="240"/>
    <x v="240"/>
    <x v="0"/>
  </r>
  <r>
    <x v="65"/>
    <x v="3"/>
    <x v="65"/>
    <x v="26"/>
    <x v="3"/>
    <x v="37"/>
    <x v="27"/>
    <x v="8"/>
    <x v="0"/>
    <x v="0"/>
    <x v="0"/>
    <x v="0"/>
    <x v="39"/>
    <x v="27"/>
    <x v="8"/>
    <x v="0"/>
    <x v="241"/>
    <x v="241"/>
    <x v="241"/>
    <x v="0"/>
  </r>
  <r>
    <x v="65"/>
    <x v="0"/>
    <x v="65"/>
    <x v="26"/>
    <x v="3"/>
    <x v="17"/>
    <x v="0"/>
    <x v="11"/>
    <x v="0"/>
    <x v="0"/>
    <x v="0"/>
    <x v="0"/>
    <x v="17"/>
    <x v="0"/>
    <x v="11"/>
    <x v="0"/>
    <x v="42"/>
    <x v="42"/>
    <x v="42"/>
    <x v="0"/>
  </r>
  <r>
    <x v="65"/>
    <x v="1"/>
    <x v="65"/>
    <x v="26"/>
    <x v="3"/>
    <x v="7"/>
    <x v="0"/>
    <x v="2"/>
    <x v="0"/>
    <x v="0"/>
    <x v="0"/>
    <x v="0"/>
    <x v="7"/>
    <x v="0"/>
    <x v="2"/>
    <x v="0"/>
    <x v="239"/>
    <x v="239"/>
    <x v="239"/>
    <x v="0"/>
  </r>
  <r>
    <x v="65"/>
    <x v="2"/>
    <x v="65"/>
    <x v="26"/>
    <x v="3"/>
    <x v="1"/>
    <x v="6"/>
    <x v="3"/>
    <x v="0"/>
    <x v="0"/>
    <x v="0"/>
    <x v="0"/>
    <x v="1"/>
    <x v="6"/>
    <x v="3"/>
    <x v="0"/>
    <x v="242"/>
    <x v="242"/>
    <x v="242"/>
    <x v="0"/>
  </r>
  <r>
    <x v="65"/>
    <x v="4"/>
    <x v="65"/>
    <x v="26"/>
    <x v="3"/>
    <x v="62"/>
    <x v="0"/>
    <x v="3"/>
    <x v="0"/>
    <x v="0"/>
    <x v="0"/>
    <x v="0"/>
    <x v="72"/>
    <x v="0"/>
    <x v="3"/>
    <x v="0"/>
    <x v="243"/>
    <x v="243"/>
    <x v="243"/>
    <x v="0"/>
  </r>
  <r>
    <x v="65"/>
    <x v="5"/>
    <x v="65"/>
    <x v="26"/>
    <x v="3"/>
    <x v="1"/>
    <x v="0"/>
    <x v="0"/>
    <x v="0"/>
    <x v="0"/>
    <x v="0"/>
    <x v="0"/>
    <x v="1"/>
    <x v="0"/>
    <x v="0"/>
    <x v="0"/>
    <x v="1"/>
    <x v="1"/>
    <x v="1"/>
    <x v="0"/>
  </r>
  <r>
    <x v="66"/>
    <x v="6"/>
    <x v="66"/>
    <x v="1"/>
    <x v="0"/>
    <x v="9"/>
    <x v="0"/>
    <x v="0"/>
    <x v="0"/>
    <x v="0"/>
    <x v="0"/>
    <x v="0"/>
    <x v="9"/>
    <x v="0"/>
    <x v="0"/>
    <x v="0"/>
    <x v="244"/>
    <x v="244"/>
    <x v="244"/>
    <x v="0"/>
  </r>
  <r>
    <x v="66"/>
    <x v="3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1"/>
    <x v="66"/>
    <x v="1"/>
    <x v="0"/>
    <x v="59"/>
    <x v="0"/>
    <x v="11"/>
    <x v="0"/>
    <x v="0"/>
    <x v="0"/>
    <x v="0"/>
    <x v="64"/>
    <x v="0"/>
    <x v="11"/>
    <x v="0"/>
    <x v="25"/>
    <x v="25"/>
    <x v="25"/>
    <x v="0"/>
  </r>
  <r>
    <x v="66"/>
    <x v="2"/>
    <x v="66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66"/>
    <x v="4"/>
    <x v="66"/>
    <x v="1"/>
    <x v="0"/>
    <x v="59"/>
    <x v="0"/>
    <x v="1"/>
    <x v="0"/>
    <x v="0"/>
    <x v="0"/>
    <x v="0"/>
    <x v="64"/>
    <x v="0"/>
    <x v="1"/>
    <x v="0"/>
    <x v="219"/>
    <x v="219"/>
    <x v="219"/>
    <x v="0"/>
  </r>
  <r>
    <x v="66"/>
    <x v="5"/>
    <x v="66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3"/>
    <x v="67"/>
    <x v="14"/>
    <x v="0"/>
    <x v="9"/>
    <x v="13"/>
    <x v="1"/>
    <x v="0"/>
    <x v="0"/>
    <x v="0"/>
    <x v="0"/>
    <x v="9"/>
    <x v="13"/>
    <x v="1"/>
    <x v="0"/>
    <x v="245"/>
    <x v="245"/>
    <x v="245"/>
    <x v="0"/>
  </r>
  <r>
    <x v="67"/>
    <x v="0"/>
    <x v="67"/>
    <x v="14"/>
    <x v="0"/>
    <x v="49"/>
    <x v="23"/>
    <x v="11"/>
    <x v="0"/>
    <x v="0"/>
    <x v="0"/>
    <x v="0"/>
    <x v="52"/>
    <x v="23"/>
    <x v="11"/>
    <x v="0"/>
    <x v="246"/>
    <x v="246"/>
    <x v="246"/>
    <x v="0"/>
  </r>
  <r>
    <x v="67"/>
    <x v="1"/>
    <x v="67"/>
    <x v="14"/>
    <x v="0"/>
    <x v="36"/>
    <x v="0"/>
    <x v="11"/>
    <x v="0"/>
    <x v="0"/>
    <x v="0"/>
    <x v="0"/>
    <x v="38"/>
    <x v="0"/>
    <x v="11"/>
    <x v="0"/>
    <x v="130"/>
    <x v="130"/>
    <x v="130"/>
    <x v="0"/>
  </r>
  <r>
    <x v="67"/>
    <x v="2"/>
    <x v="67"/>
    <x v="14"/>
    <x v="0"/>
    <x v="59"/>
    <x v="0"/>
    <x v="1"/>
    <x v="0"/>
    <x v="0"/>
    <x v="0"/>
    <x v="0"/>
    <x v="64"/>
    <x v="0"/>
    <x v="1"/>
    <x v="0"/>
    <x v="219"/>
    <x v="219"/>
    <x v="219"/>
    <x v="0"/>
  </r>
  <r>
    <x v="67"/>
    <x v="4"/>
    <x v="67"/>
    <x v="14"/>
    <x v="0"/>
    <x v="58"/>
    <x v="0"/>
    <x v="8"/>
    <x v="0"/>
    <x v="0"/>
    <x v="0"/>
    <x v="0"/>
    <x v="63"/>
    <x v="0"/>
    <x v="8"/>
    <x v="0"/>
    <x v="247"/>
    <x v="247"/>
    <x v="247"/>
    <x v="0"/>
  </r>
  <r>
    <x v="68"/>
    <x v="6"/>
    <x v="68"/>
    <x v="8"/>
    <x v="0"/>
    <x v="60"/>
    <x v="0"/>
    <x v="6"/>
    <x v="0"/>
    <x v="0"/>
    <x v="0"/>
    <x v="0"/>
    <x v="65"/>
    <x v="0"/>
    <x v="6"/>
    <x v="0"/>
    <x v="131"/>
    <x v="131"/>
    <x v="131"/>
    <x v="0"/>
  </r>
  <r>
    <x v="68"/>
    <x v="3"/>
    <x v="68"/>
    <x v="8"/>
    <x v="0"/>
    <x v="43"/>
    <x v="0"/>
    <x v="11"/>
    <x v="0"/>
    <x v="0"/>
    <x v="0"/>
    <x v="0"/>
    <x v="46"/>
    <x v="0"/>
    <x v="11"/>
    <x v="0"/>
    <x v="22"/>
    <x v="22"/>
    <x v="22"/>
    <x v="0"/>
  </r>
  <r>
    <x v="68"/>
    <x v="0"/>
    <x v="68"/>
    <x v="8"/>
    <x v="0"/>
    <x v="0"/>
    <x v="0"/>
    <x v="1"/>
    <x v="0"/>
    <x v="0"/>
    <x v="0"/>
    <x v="0"/>
    <x v="0"/>
    <x v="0"/>
    <x v="1"/>
    <x v="0"/>
    <x v="85"/>
    <x v="85"/>
    <x v="85"/>
    <x v="0"/>
  </r>
  <r>
    <x v="68"/>
    <x v="1"/>
    <x v="68"/>
    <x v="8"/>
    <x v="0"/>
    <x v="61"/>
    <x v="0"/>
    <x v="6"/>
    <x v="0"/>
    <x v="0"/>
    <x v="0"/>
    <x v="0"/>
    <x v="71"/>
    <x v="0"/>
    <x v="6"/>
    <x v="0"/>
    <x v="187"/>
    <x v="187"/>
    <x v="187"/>
    <x v="0"/>
  </r>
  <r>
    <x v="68"/>
    <x v="2"/>
    <x v="68"/>
    <x v="8"/>
    <x v="0"/>
    <x v="39"/>
    <x v="0"/>
    <x v="6"/>
    <x v="0"/>
    <x v="0"/>
    <x v="0"/>
    <x v="0"/>
    <x v="41"/>
    <x v="0"/>
    <x v="6"/>
    <x v="0"/>
    <x v="124"/>
    <x v="124"/>
    <x v="124"/>
    <x v="0"/>
  </r>
  <r>
    <x v="69"/>
    <x v="6"/>
    <x v="69"/>
    <x v="25"/>
    <x v="3"/>
    <x v="17"/>
    <x v="27"/>
    <x v="11"/>
    <x v="0"/>
    <x v="0"/>
    <x v="0"/>
    <x v="0"/>
    <x v="17"/>
    <x v="27"/>
    <x v="11"/>
    <x v="0"/>
    <x v="248"/>
    <x v="248"/>
    <x v="248"/>
    <x v="0"/>
  </r>
  <r>
    <x v="69"/>
    <x v="3"/>
    <x v="69"/>
    <x v="25"/>
    <x v="3"/>
    <x v="0"/>
    <x v="0"/>
    <x v="8"/>
    <x v="0"/>
    <x v="0"/>
    <x v="0"/>
    <x v="0"/>
    <x v="0"/>
    <x v="0"/>
    <x v="8"/>
    <x v="0"/>
    <x v="249"/>
    <x v="249"/>
    <x v="249"/>
    <x v="0"/>
  </r>
  <r>
    <x v="69"/>
    <x v="0"/>
    <x v="69"/>
    <x v="25"/>
    <x v="3"/>
    <x v="61"/>
    <x v="0"/>
    <x v="6"/>
    <x v="0"/>
    <x v="0"/>
    <x v="0"/>
    <x v="0"/>
    <x v="71"/>
    <x v="0"/>
    <x v="6"/>
    <x v="0"/>
    <x v="187"/>
    <x v="187"/>
    <x v="187"/>
    <x v="0"/>
  </r>
  <r>
    <x v="69"/>
    <x v="1"/>
    <x v="69"/>
    <x v="25"/>
    <x v="3"/>
    <x v="5"/>
    <x v="0"/>
    <x v="6"/>
    <x v="0"/>
    <x v="0"/>
    <x v="0"/>
    <x v="0"/>
    <x v="5"/>
    <x v="0"/>
    <x v="6"/>
    <x v="0"/>
    <x v="250"/>
    <x v="250"/>
    <x v="250"/>
    <x v="0"/>
  </r>
  <r>
    <x v="69"/>
    <x v="2"/>
    <x v="69"/>
    <x v="25"/>
    <x v="3"/>
    <x v="69"/>
    <x v="27"/>
    <x v="6"/>
    <x v="0"/>
    <x v="0"/>
    <x v="0"/>
    <x v="0"/>
    <x v="82"/>
    <x v="27"/>
    <x v="6"/>
    <x v="0"/>
    <x v="251"/>
    <x v="251"/>
    <x v="251"/>
    <x v="0"/>
  </r>
  <r>
    <x v="69"/>
    <x v="4"/>
    <x v="69"/>
    <x v="25"/>
    <x v="3"/>
    <x v="53"/>
    <x v="9"/>
    <x v="6"/>
    <x v="0"/>
    <x v="0"/>
    <x v="0"/>
    <x v="0"/>
    <x v="58"/>
    <x v="9"/>
    <x v="6"/>
    <x v="0"/>
    <x v="252"/>
    <x v="252"/>
    <x v="252"/>
    <x v="0"/>
  </r>
  <r>
    <x v="69"/>
    <x v="5"/>
    <x v="69"/>
    <x v="25"/>
    <x v="3"/>
    <x v="39"/>
    <x v="0"/>
    <x v="11"/>
    <x v="0"/>
    <x v="0"/>
    <x v="0"/>
    <x v="0"/>
    <x v="41"/>
    <x v="0"/>
    <x v="11"/>
    <x v="0"/>
    <x v="253"/>
    <x v="253"/>
    <x v="253"/>
    <x v="0"/>
  </r>
  <r>
    <x v="70"/>
    <x v="6"/>
    <x v="70"/>
    <x v="27"/>
    <x v="0"/>
    <x v="61"/>
    <x v="0"/>
    <x v="13"/>
    <x v="0"/>
    <x v="0"/>
    <x v="0"/>
    <x v="0"/>
    <x v="71"/>
    <x v="0"/>
    <x v="13"/>
    <x v="0"/>
    <x v="254"/>
    <x v="254"/>
    <x v="254"/>
    <x v="0"/>
  </r>
  <r>
    <x v="70"/>
    <x v="3"/>
    <x v="70"/>
    <x v="27"/>
    <x v="0"/>
    <x v="2"/>
    <x v="0"/>
    <x v="6"/>
    <x v="0"/>
    <x v="0"/>
    <x v="0"/>
    <x v="0"/>
    <x v="2"/>
    <x v="0"/>
    <x v="6"/>
    <x v="0"/>
    <x v="218"/>
    <x v="218"/>
    <x v="218"/>
    <x v="0"/>
  </r>
  <r>
    <x v="70"/>
    <x v="0"/>
    <x v="70"/>
    <x v="27"/>
    <x v="0"/>
    <x v="59"/>
    <x v="20"/>
    <x v="10"/>
    <x v="0"/>
    <x v="0"/>
    <x v="0"/>
    <x v="0"/>
    <x v="64"/>
    <x v="20"/>
    <x v="10"/>
    <x v="0"/>
    <x v="255"/>
    <x v="255"/>
    <x v="255"/>
    <x v="0"/>
  </r>
  <r>
    <x v="70"/>
    <x v="1"/>
    <x v="70"/>
    <x v="27"/>
    <x v="0"/>
    <x v="69"/>
    <x v="10"/>
    <x v="14"/>
    <x v="0"/>
    <x v="0"/>
    <x v="0"/>
    <x v="0"/>
    <x v="82"/>
    <x v="10"/>
    <x v="14"/>
    <x v="0"/>
    <x v="256"/>
    <x v="256"/>
    <x v="256"/>
    <x v="0"/>
  </r>
  <r>
    <x v="70"/>
    <x v="2"/>
    <x v="70"/>
    <x v="27"/>
    <x v="0"/>
    <x v="17"/>
    <x v="8"/>
    <x v="11"/>
    <x v="0"/>
    <x v="0"/>
    <x v="0"/>
    <x v="0"/>
    <x v="17"/>
    <x v="8"/>
    <x v="11"/>
    <x v="0"/>
    <x v="257"/>
    <x v="257"/>
    <x v="257"/>
    <x v="0"/>
  </r>
  <r>
    <x v="70"/>
    <x v="4"/>
    <x v="70"/>
    <x v="27"/>
    <x v="0"/>
    <x v="17"/>
    <x v="0"/>
    <x v="11"/>
    <x v="0"/>
    <x v="0"/>
    <x v="0"/>
    <x v="0"/>
    <x v="17"/>
    <x v="0"/>
    <x v="11"/>
    <x v="0"/>
    <x v="42"/>
    <x v="42"/>
    <x v="42"/>
    <x v="0"/>
  </r>
  <r>
    <x v="71"/>
    <x v="0"/>
    <x v="71"/>
    <x v="1"/>
    <x v="0"/>
    <x v="36"/>
    <x v="0"/>
    <x v="11"/>
    <x v="0"/>
    <x v="0"/>
    <x v="0"/>
    <x v="0"/>
    <x v="38"/>
    <x v="0"/>
    <x v="11"/>
    <x v="0"/>
    <x v="130"/>
    <x v="130"/>
    <x v="130"/>
    <x v="0"/>
  </r>
  <r>
    <x v="71"/>
    <x v="1"/>
    <x v="71"/>
    <x v="1"/>
    <x v="0"/>
    <x v="48"/>
    <x v="0"/>
    <x v="6"/>
    <x v="0"/>
    <x v="0"/>
    <x v="0"/>
    <x v="0"/>
    <x v="51"/>
    <x v="0"/>
    <x v="6"/>
    <x v="0"/>
    <x v="248"/>
    <x v="248"/>
    <x v="248"/>
    <x v="0"/>
  </r>
  <r>
    <x v="71"/>
    <x v="2"/>
    <x v="71"/>
    <x v="1"/>
    <x v="0"/>
    <x v="70"/>
    <x v="0"/>
    <x v="11"/>
    <x v="0"/>
    <x v="0"/>
    <x v="0"/>
    <x v="0"/>
    <x v="83"/>
    <x v="0"/>
    <x v="11"/>
    <x v="0"/>
    <x v="258"/>
    <x v="258"/>
    <x v="258"/>
    <x v="0"/>
  </r>
  <r>
    <x v="71"/>
    <x v="4"/>
    <x v="71"/>
    <x v="1"/>
    <x v="0"/>
    <x v="21"/>
    <x v="0"/>
    <x v="11"/>
    <x v="0"/>
    <x v="0"/>
    <x v="0"/>
    <x v="0"/>
    <x v="21"/>
    <x v="0"/>
    <x v="11"/>
    <x v="0"/>
    <x v="128"/>
    <x v="128"/>
    <x v="128"/>
    <x v="0"/>
  </r>
  <r>
    <x v="72"/>
    <x v="6"/>
    <x v="72"/>
    <x v="0"/>
    <x v="0"/>
    <x v="19"/>
    <x v="0"/>
    <x v="11"/>
    <x v="0"/>
    <x v="0"/>
    <x v="0"/>
    <x v="0"/>
    <x v="19"/>
    <x v="0"/>
    <x v="11"/>
    <x v="0"/>
    <x v="67"/>
    <x v="67"/>
    <x v="67"/>
    <x v="0"/>
  </r>
  <r>
    <x v="72"/>
    <x v="3"/>
    <x v="72"/>
    <x v="0"/>
    <x v="0"/>
    <x v="59"/>
    <x v="0"/>
    <x v="11"/>
    <x v="0"/>
    <x v="0"/>
    <x v="0"/>
    <x v="0"/>
    <x v="64"/>
    <x v="0"/>
    <x v="11"/>
    <x v="0"/>
    <x v="25"/>
    <x v="25"/>
    <x v="25"/>
    <x v="0"/>
  </r>
  <r>
    <x v="72"/>
    <x v="0"/>
    <x v="72"/>
    <x v="0"/>
    <x v="0"/>
    <x v="36"/>
    <x v="0"/>
    <x v="6"/>
    <x v="0"/>
    <x v="0"/>
    <x v="0"/>
    <x v="0"/>
    <x v="38"/>
    <x v="0"/>
    <x v="6"/>
    <x v="0"/>
    <x v="51"/>
    <x v="51"/>
    <x v="51"/>
    <x v="0"/>
  </r>
  <r>
    <x v="73"/>
    <x v="0"/>
    <x v="73"/>
    <x v="12"/>
    <x v="0"/>
    <x v="44"/>
    <x v="0"/>
    <x v="3"/>
    <x v="0"/>
    <x v="0"/>
    <x v="0"/>
    <x v="0"/>
    <x v="47"/>
    <x v="0"/>
    <x v="3"/>
    <x v="0"/>
    <x v="259"/>
    <x v="259"/>
    <x v="259"/>
    <x v="0"/>
  </r>
  <r>
    <x v="73"/>
    <x v="1"/>
    <x v="73"/>
    <x v="12"/>
    <x v="0"/>
    <x v="66"/>
    <x v="0"/>
    <x v="10"/>
    <x v="0"/>
    <x v="0"/>
    <x v="0"/>
    <x v="0"/>
    <x v="84"/>
    <x v="0"/>
    <x v="10"/>
    <x v="0"/>
    <x v="260"/>
    <x v="260"/>
    <x v="260"/>
    <x v="0"/>
  </r>
  <r>
    <x v="73"/>
    <x v="2"/>
    <x v="73"/>
    <x v="12"/>
    <x v="0"/>
    <x v="71"/>
    <x v="0"/>
    <x v="0"/>
    <x v="0"/>
    <x v="0"/>
    <x v="0"/>
    <x v="0"/>
    <x v="85"/>
    <x v="0"/>
    <x v="0"/>
    <x v="0"/>
    <x v="261"/>
    <x v="261"/>
    <x v="261"/>
    <x v="0"/>
  </r>
  <r>
    <x v="73"/>
    <x v="4"/>
    <x v="73"/>
    <x v="12"/>
    <x v="0"/>
    <x v="6"/>
    <x v="0"/>
    <x v="8"/>
    <x v="0"/>
    <x v="0"/>
    <x v="0"/>
    <x v="0"/>
    <x v="6"/>
    <x v="0"/>
    <x v="8"/>
    <x v="0"/>
    <x v="262"/>
    <x v="262"/>
    <x v="262"/>
    <x v="0"/>
  </r>
  <r>
    <x v="74"/>
    <x v="0"/>
    <x v="71"/>
    <x v="1"/>
    <x v="0"/>
    <x v="49"/>
    <x v="0"/>
    <x v="10"/>
    <x v="0"/>
    <x v="0"/>
    <x v="0"/>
    <x v="0"/>
    <x v="52"/>
    <x v="0"/>
    <x v="10"/>
    <x v="0"/>
    <x v="146"/>
    <x v="146"/>
    <x v="146"/>
    <x v="0"/>
  </r>
  <r>
    <x v="74"/>
    <x v="1"/>
    <x v="71"/>
    <x v="1"/>
    <x v="0"/>
    <x v="58"/>
    <x v="0"/>
    <x v="1"/>
    <x v="0"/>
    <x v="0"/>
    <x v="0"/>
    <x v="0"/>
    <x v="63"/>
    <x v="0"/>
    <x v="1"/>
    <x v="0"/>
    <x v="118"/>
    <x v="118"/>
    <x v="118"/>
    <x v="0"/>
  </r>
  <r>
    <x v="74"/>
    <x v="2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4"/>
    <x v="5"/>
    <x v="71"/>
    <x v="1"/>
    <x v="0"/>
    <x v="59"/>
    <x v="0"/>
    <x v="3"/>
    <x v="0"/>
    <x v="0"/>
    <x v="0"/>
    <x v="0"/>
    <x v="64"/>
    <x v="0"/>
    <x v="3"/>
    <x v="0"/>
    <x v="263"/>
    <x v="263"/>
    <x v="263"/>
    <x v="0"/>
  </r>
  <r>
    <x v="75"/>
    <x v="4"/>
    <x v="74"/>
    <x v="14"/>
    <x v="0"/>
    <x v="21"/>
    <x v="0"/>
    <x v="11"/>
    <x v="0"/>
    <x v="0"/>
    <x v="0"/>
    <x v="0"/>
    <x v="21"/>
    <x v="0"/>
    <x v="11"/>
    <x v="0"/>
    <x v="128"/>
    <x v="128"/>
    <x v="128"/>
    <x v="0"/>
  </r>
  <r>
    <x v="76"/>
    <x v="1"/>
    <x v="75"/>
    <x v="1"/>
    <x v="0"/>
    <x v="62"/>
    <x v="0"/>
    <x v="11"/>
    <x v="0"/>
    <x v="0"/>
    <x v="0"/>
    <x v="0"/>
    <x v="72"/>
    <x v="0"/>
    <x v="11"/>
    <x v="0"/>
    <x v="264"/>
    <x v="264"/>
    <x v="264"/>
    <x v="0"/>
  </r>
  <r>
    <x v="76"/>
    <x v="2"/>
    <x v="75"/>
    <x v="1"/>
    <x v="0"/>
    <x v="62"/>
    <x v="0"/>
    <x v="10"/>
    <x v="0"/>
    <x v="0"/>
    <x v="0"/>
    <x v="0"/>
    <x v="72"/>
    <x v="0"/>
    <x v="10"/>
    <x v="0"/>
    <x v="265"/>
    <x v="265"/>
    <x v="265"/>
    <x v="0"/>
  </r>
  <r>
    <x v="76"/>
    <x v="4"/>
    <x v="75"/>
    <x v="1"/>
    <x v="0"/>
    <x v="43"/>
    <x v="0"/>
    <x v="1"/>
    <x v="0"/>
    <x v="0"/>
    <x v="0"/>
    <x v="0"/>
    <x v="46"/>
    <x v="0"/>
    <x v="1"/>
    <x v="0"/>
    <x v="111"/>
    <x v="111"/>
    <x v="111"/>
    <x v="0"/>
  </r>
  <r>
    <x v="76"/>
    <x v="5"/>
    <x v="75"/>
    <x v="1"/>
    <x v="0"/>
    <x v="0"/>
    <x v="0"/>
    <x v="1"/>
    <x v="0"/>
    <x v="0"/>
    <x v="0"/>
    <x v="0"/>
    <x v="0"/>
    <x v="0"/>
    <x v="1"/>
    <x v="0"/>
    <x v="85"/>
    <x v="85"/>
    <x v="85"/>
    <x v="0"/>
  </r>
  <r>
    <x v="77"/>
    <x v="1"/>
    <x v="76"/>
    <x v="24"/>
    <x v="0"/>
    <x v="62"/>
    <x v="0"/>
    <x v="11"/>
    <x v="0"/>
    <x v="0"/>
    <x v="0"/>
    <x v="0"/>
    <x v="72"/>
    <x v="0"/>
    <x v="11"/>
    <x v="0"/>
    <x v="264"/>
    <x v="264"/>
    <x v="264"/>
    <x v="0"/>
  </r>
  <r>
    <x v="77"/>
    <x v="2"/>
    <x v="76"/>
    <x v="24"/>
    <x v="0"/>
    <x v="70"/>
    <x v="0"/>
    <x v="11"/>
    <x v="0"/>
    <x v="0"/>
    <x v="0"/>
    <x v="0"/>
    <x v="83"/>
    <x v="0"/>
    <x v="11"/>
    <x v="0"/>
    <x v="258"/>
    <x v="258"/>
    <x v="258"/>
    <x v="0"/>
  </r>
  <r>
    <x v="77"/>
    <x v="4"/>
    <x v="76"/>
    <x v="24"/>
    <x v="0"/>
    <x v="5"/>
    <x v="0"/>
    <x v="11"/>
    <x v="0"/>
    <x v="0"/>
    <x v="0"/>
    <x v="0"/>
    <x v="5"/>
    <x v="0"/>
    <x v="11"/>
    <x v="0"/>
    <x v="266"/>
    <x v="266"/>
    <x v="266"/>
    <x v="0"/>
  </r>
  <r>
    <x v="77"/>
    <x v="5"/>
    <x v="76"/>
    <x v="24"/>
    <x v="0"/>
    <x v="62"/>
    <x v="0"/>
    <x v="1"/>
    <x v="0"/>
    <x v="0"/>
    <x v="0"/>
    <x v="0"/>
    <x v="72"/>
    <x v="0"/>
    <x v="1"/>
    <x v="0"/>
    <x v="267"/>
    <x v="267"/>
    <x v="267"/>
    <x v="0"/>
  </r>
  <r>
    <x v="78"/>
    <x v="1"/>
    <x v="77"/>
    <x v="2"/>
    <x v="0"/>
    <x v="42"/>
    <x v="0"/>
    <x v="16"/>
    <x v="0"/>
    <x v="0"/>
    <x v="0"/>
    <x v="0"/>
    <x v="45"/>
    <x v="0"/>
    <x v="16"/>
    <x v="0"/>
    <x v="268"/>
    <x v="268"/>
    <x v="268"/>
    <x v="0"/>
  </r>
  <r>
    <x v="78"/>
    <x v="2"/>
    <x v="77"/>
    <x v="2"/>
    <x v="0"/>
    <x v="14"/>
    <x v="0"/>
    <x v="17"/>
    <x v="0"/>
    <x v="0"/>
    <x v="0"/>
    <x v="0"/>
    <x v="14"/>
    <x v="0"/>
    <x v="17"/>
    <x v="0"/>
    <x v="269"/>
    <x v="269"/>
    <x v="269"/>
    <x v="0"/>
  </r>
  <r>
    <x v="79"/>
    <x v="1"/>
    <x v="78"/>
    <x v="21"/>
    <x v="3"/>
    <x v="0"/>
    <x v="0"/>
    <x v="6"/>
    <x v="0"/>
    <x v="0"/>
    <x v="0"/>
    <x v="0"/>
    <x v="0"/>
    <x v="0"/>
    <x v="6"/>
    <x v="0"/>
    <x v="270"/>
    <x v="270"/>
    <x v="270"/>
    <x v="0"/>
  </r>
  <r>
    <x v="79"/>
    <x v="2"/>
    <x v="78"/>
    <x v="21"/>
    <x v="3"/>
    <x v="22"/>
    <x v="0"/>
    <x v="1"/>
    <x v="0"/>
    <x v="0"/>
    <x v="0"/>
    <x v="0"/>
    <x v="22"/>
    <x v="0"/>
    <x v="1"/>
    <x v="0"/>
    <x v="251"/>
    <x v="251"/>
    <x v="251"/>
    <x v="0"/>
  </r>
  <r>
    <x v="79"/>
    <x v="4"/>
    <x v="78"/>
    <x v="21"/>
    <x v="3"/>
    <x v="60"/>
    <x v="0"/>
    <x v="6"/>
    <x v="0"/>
    <x v="0"/>
    <x v="0"/>
    <x v="0"/>
    <x v="65"/>
    <x v="0"/>
    <x v="6"/>
    <x v="0"/>
    <x v="131"/>
    <x v="131"/>
    <x v="131"/>
    <x v="0"/>
  </r>
  <r>
    <x v="79"/>
    <x v="5"/>
    <x v="78"/>
    <x v="21"/>
    <x v="3"/>
    <x v="23"/>
    <x v="0"/>
    <x v="1"/>
    <x v="0"/>
    <x v="0"/>
    <x v="0"/>
    <x v="0"/>
    <x v="23"/>
    <x v="0"/>
    <x v="1"/>
    <x v="0"/>
    <x v="32"/>
    <x v="32"/>
    <x v="32"/>
    <x v="0"/>
  </r>
  <r>
    <x v="80"/>
    <x v="2"/>
    <x v="25"/>
    <x v="2"/>
    <x v="0"/>
    <x v="19"/>
    <x v="27"/>
    <x v="1"/>
    <x v="0"/>
    <x v="0"/>
    <x v="0"/>
    <x v="0"/>
    <x v="19"/>
    <x v="27"/>
    <x v="1"/>
    <x v="0"/>
    <x v="271"/>
    <x v="271"/>
    <x v="271"/>
    <x v="0"/>
  </r>
  <r>
    <x v="80"/>
    <x v="4"/>
    <x v="25"/>
    <x v="2"/>
    <x v="0"/>
    <x v="17"/>
    <x v="10"/>
    <x v="6"/>
    <x v="0"/>
    <x v="0"/>
    <x v="0"/>
    <x v="0"/>
    <x v="17"/>
    <x v="10"/>
    <x v="6"/>
    <x v="0"/>
    <x v="272"/>
    <x v="272"/>
    <x v="272"/>
    <x v="0"/>
  </r>
  <r>
    <x v="80"/>
    <x v="5"/>
    <x v="25"/>
    <x v="2"/>
    <x v="0"/>
    <x v="0"/>
    <x v="0"/>
    <x v="10"/>
    <x v="0"/>
    <x v="0"/>
    <x v="0"/>
    <x v="0"/>
    <x v="0"/>
    <x v="0"/>
    <x v="10"/>
    <x v="0"/>
    <x v="120"/>
    <x v="120"/>
    <x v="120"/>
    <x v="0"/>
  </r>
  <r>
    <x v="81"/>
    <x v="2"/>
    <x v="79"/>
    <x v="26"/>
    <x v="3"/>
    <x v="17"/>
    <x v="11"/>
    <x v="1"/>
    <x v="0"/>
    <x v="0"/>
    <x v="0"/>
    <x v="0"/>
    <x v="17"/>
    <x v="11"/>
    <x v="1"/>
    <x v="0"/>
    <x v="273"/>
    <x v="273"/>
    <x v="273"/>
    <x v="0"/>
  </r>
  <r>
    <x v="81"/>
    <x v="4"/>
    <x v="79"/>
    <x v="26"/>
    <x v="3"/>
    <x v="17"/>
    <x v="4"/>
    <x v="10"/>
    <x v="0"/>
    <x v="0"/>
    <x v="0"/>
    <x v="0"/>
    <x v="17"/>
    <x v="4"/>
    <x v="10"/>
    <x v="0"/>
    <x v="274"/>
    <x v="274"/>
    <x v="2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6" firstHeaderRow="1" firstDataRow="1" firstDataCol="1"/>
  <pivotFields count="20">
    <pivotField axis="axisRow" compact="0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76">
        <item x="42"/>
        <item x="67"/>
        <item x="29"/>
        <item x="217"/>
        <item x="23"/>
        <item x="147"/>
        <item x="192"/>
        <item x="96"/>
        <item x="89"/>
        <item x="248"/>
        <item x="258"/>
        <item x="194"/>
        <item x="125"/>
        <item x="271"/>
        <item x="231"/>
        <item x="207"/>
        <item x="218"/>
        <item x="2"/>
        <item x="128"/>
        <item x="24"/>
        <item x="130"/>
        <item x="272"/>
        <item x="246"/>
        <item x="51"/>
        <item x="95"/>
        <item x="146"/>
        <item x="193"/>
        <item x="90"/>
        <item x="131"/>
        <item x="121"/>
        <item x="25"/>
        <item x="94"/>
        <item x="119"/>
        <item x="219"/>
        <item x="264"/>
        <item x="139"/>
        <item x="257"/>
        <item x="28"/>
        <item x="267"/>
        <item x="22"/>
        <item x="263"/>
        <item x="232"/>
        <item x="27"/>
        <item x="236"/>
        <item x="114"/>
        <item x="153"/>
        <item x="265"/>
        <item x="111"/>
        <item x="243"/>
        <item x="68"/>
        <item x="270"/>
        <item x="226"/>
        <item x="85"/>
        <item x="202"/>
        <item x="249"/>
        <item x="120"/>
        <item x="118"/>
        <item x="230"/>
        <item x="206"/>
        <item x="247"/>
        <item x="116"/>
        <item x="30"/>
        <item x="99"/>
        <item x="0"/>
        <item x="238"/>
        <item x="86"/>
        <item x="233"/>
        <item x="177"/>
        <item x="273"/>
        <item x="201"/>
        <item x="237"/>
        <item x="26"/>
        <item x="198"/>
        <item x="87"/>
        <item x="266"/>
        <item x="92"/>
        <item x="250"/>
        <item x="17"/>
        <item x="21"/>
        <item x="91"/>
        <item x="122"/>
        <item x="127"/>
        <item x="58"/>
        <item x="156"/>
        <item x="93"/>
        <item x="244"/>
        <item x="112"/>
        <item x="32"/>
        <item x="155"/>
        <item x="134"/>
        <item x="138"/>
        <item x="105"/>
        <item x="187"/>
        <item x="154"/>
        <item x="31"/>
        <item x="126"/>
        <item x="227"/>
        <item x="251"/>
        <item x="253"/>
        <item x="203"/>
        <item x="229"/>
        <item x="124"/>
        <item x="88"/>
        <item x="117"/>
        <item x="123"/>
        <item x="74"/>
        <item x="162"/>
        <item x="225"/>
        <item x="148"/>
        <item x="234"/>
        <item x="57"/>
        <item x="18"/>
        <item x="165"/>
        <item x="204"/>
        <item x="49"/>
        <item x="142"/>
        <item x="20"/>
        <item x="254"/>
        <item x="113"/>
        <item x="216"/>
        <item x="55"/>
        <item x="129"/>
        <item x="274"/>
        <item x="1"/>
        <item x="212"/>
        <item x="132"/>
        <item x="205"/>
        <item x="83"/>
        <item x="145"/>
        <item x="137"/>
        <item x="140"/>
        <item x="97"/>
        <item x="215"/>
        <item x="211"/>
        <item x="158"/>
        <item x="252"/>
        <item x="245"/>
        <item x="256"/>
        <item x="157"/>
        <item x="10"/>
        <item x="228"/>
        <item x="19"/>
        <item x="151"/>
        <item x="63"/>
        <item x="73"/>
        <item x="160"/>
        <item x="62"/>
        <item x="164"/>
        <item x="56"/>
        <item x="115"/>
        <item x="239"/>
        <item x="33"/>
        <item x="149"/>
        <item x="60"/>
        <item x="181"/>
        <item x="163"/>
        <item x="107"/>
        <item x="61"/>
        <item x="213"/>
        <item x="54"/>
        <item x="166"/>
        <item x="82"/>
        <item x="84"/>
        <item x="133"/>
        <item x="14"/>
        <item x="135"/>
        <item x="66"/>
        <item x="98"/>
        <item x="240"/>
        <item x="241"/>
        <item x="168"/>
        <item x="79"/>
        <item x="178"/>
        <item x="141"/>
        <item x="59"/>
        <item x="71"/>
        <item x="159"/>
        <item x="75"/>
        <item x="136"/>
        <item x="195"/>
        <item x="268"/>
        <item x="262"/>
        <item x="5"/>
        <item x="242"/>
        <item x="150"/>
        <item x="69"/>
        <item x="16"/>
        <item x="209"/>
        <item x="255"/>
        <item x="208"/>
        <item x="167"/>
        <item x="9"/>
        <item x="196"/>
        <item x="143"/>
        <item x="189"/>
        <item x="144"/>
        <item x="176"/>
        <item x="11"/>
        <item x="64"/>
        <item x="214"/>
        <item x="53"/>
        <item x="197"/>
        <item x="200"/>
        <item x="50"/>
        <item x="15"/>
        <item x="222"/>
        <item x="72"/>
        <item x="220"/>
        <item x="45"/>
        <item x="173"/>
        <item x="269"/>
        <item x="52"/>
        <item x="34"/>
        <item x="43"/>
        <item x="235"/>
        <item x="199"/>
        <item x="152"/>
        <item x="259"/>
        <item x="188"/>
        <item x="261"/>
        <item x="80"/>
        <item x="44"/>
        <item x="223"/>
        <item x="161"/>
        <item x="186"/>
        <item x="175"/>
        <item x="12"/>
        <item x="77"/>
        <item x="81"/>
        <item x="210"/>
        <item x="48"/>
        <item x="260"/>
        <item x="70"/>
        <item x="65"/>
        <item x="104"/>
        <item x="221"/>
        <item x="41"/>
        <item x="182"/>
        <item x="76"/>
        <item x="13"/>
        <item x="190"/>
        <item x="174"/>
        <item x="172"/>
        <item x="108"/>
        <item x="171"/>
        <item x="4"/>
        <item x="179"/>
        <item x="7"/>
        <item x="183"/>
        <item x="47"/>
        <item x="8"/>
        <item x="35"/>
        <item x="110"/>
        <item x="170"/>
        <item x="78"/>
        <item x="3"/>
        <item x="180"/>
        <item x="6"/>
        <item x="46"/>
        <item x="191"/>
        <item x="184"/>
        <item x="169"/>
        <item x="224"/>
        <item x="185"/>
        <item x="103"/>
        <item x="101"/>
        <item x="106"/>
        <item x="39"/>
        <item x="40"/>
        <item x="100"/>
        <item x="109"/>
        <item x="102"/>
        <item x="37"/>
        <item x="38"/>
        <item x="36"/>
        <item t="default"/>
      </items>
    </pivotField>
    <pivotField compact="0"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 of  Amount to credit 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T379" totalsRowShown="0">
  <autoFilter xmlns:etc="http://www.wps.cn/officeDocument/2017/etCustomData" ref="A2:T379" etc:filterBottomFollowUsedRange="0"/>
  <tableColumns count="20">
    <tableColumn id="1" name="Rider_id" dataDxfId="0"/>
    <tableColumn id="2" name="Order_date" dataDxfId="1"/>
    <tableColumn id="3" name="Name" dataDxfId="2"/>
    <tableColumn id="4" name="HUB" dataDxfId="3"/>
    <tableColumn id="5" name="City" dataDxfId="4"/>
    <tableColumn id="6" name="FWD+REV ORDERS" dataDxfId="5"/>
    <tableColumn id="7" name="SDD ORDERS" dataDxfId="6"/>
    <tableColumn id="8" name="Total_clubbed_order" dataDxfId="7"/>
    <tableColumn id="9" name="RTS+FM_Orders" dataDxfId="8"/>
    <tableColumn id="10" name="FWD+REV Rate"/>
    <tableColumn id="11" name="SDD RATE"/>
    <tableColumn id="12" name=" CLUBBED ORD RATE "/>
    <tableColumn id="13" name=" FWD+ REV TOTAL AMT ">
      <calculatedColumnFormula>F3*J3</calculatedColumnFormula>
    </tableColumn>
    <tableColumn id="14" name=" SDD TOTAL AMOUNT ">
      <calculatedColumnFormula>G3*K3</calculatedColumnFormula>
    </tableColumn>
    <tableColumn id="15" name=" Total Clubbed order Amt ">
      <calculatedColumnFormula>H3*L3</calculatedColumnFormula>
    </tableColumn>
    <tableColumn id="16" name=" TOTAL RTS + FM AMt ">
      <calculatedColumnFormula>I3*2.5</calculatedColumnFormula>
    </tableColumn>
    <tableColumn id="17" name=" TOTAL M+N+O+P ">
      <calculatedColumnFormula>M3+N3+O3+P3</calculatedColumnFormula>
    </tableColumn>
    <tableColumn id="18" name=" L.P. @ 1% ">
      <calculatedColumnFormula>Q3*1%</calculatedColumnFormula>
    </tableColumn>
    <tableColumn id="19" name=" Amount to credit ">
      <calculatedColumnFormula>Q3-R3</calculatedColumnFormula>
    </tableColumn>
    <tableColumn id="20" name="Date R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6"/>
  <sheetViews>
    <sheetView topLeftCell="A63" workbookViewId="0">
      <selection activeCell="B4" sqref="B4:B85"/>
    </sheetView>
  </sheetViews>
  <sheetFormatPr defaultColWidth="9.14285714285714" defaultRowHeight="15" outlineLevelCol="1"/>
  <cols>
    <col min="1" max="1" width="12.1428571428571"/>
    <col min="2" max="2" width="25.7142857142857"/>
  </cols>
  <sheetData>
    <row r="3" spans="1:2">
      <c r="A3" t="s">
        <v>0</v>
      </c>
      <c r="B3" t="s">
        <v>1</v>
      </c>
    </row>
    <row r="4" spans="1:2">
      <c r="A4">
        <v>115423</v>
      </c>
      <c r="B4">
        <v>1036.53</v>
      </c>
    </row>
    <row r="5" spans="1:2">
      <c r="A5">
        <v>218619</v>
      </c>
      <c r="B5">
        <v>7215.12</v>
      </c>
    </row>
    <row r="6" spans="1:2">
      <c r="A6">
        <v>641800</v>
      </c>
      <c r="B6">
        <v>1397.88</v>
      </c>
    </row>
    <row r="7" spans="1:2">
      <c r="A7">
        <v>652514</v>
      </c>
      <c r="B7">
        <v>5358.87</v>
      </c>
    </row>
    <row r="8" spans="1:2">
      <c r="A8">
        <v>656262</v>
      </c>
      <c r="B8">
        <v>2010.69</v>
      </c>
    </row>
    <row r="9" spans="1:2">
      <c r="A9">
        <v>719648</v>
      </c>
      <c r="B9">
        <v>1762.2</v>
      </c>
    </row>
    <row r="10" spans="1:2">
      <c r="A10">
        <v>989724</v>
      </c>
      <c r="B10">
        <v>2102.76</v>
      </c>
    </row>
    <row r="11" spans="1:2">
      <c r="A11">
        <v>1020330</v>
      </c>
      <c r="B11">
        <v>9212.94</v>
      </c>
    </row>
    <row r="12" spans="1:2">
      <c r="A12">
        <v>1066721</v>
      </c>
      <c r="B12">
        <v>5468.76</v>
      </c>
    </row>
    <row r="13" spans="1:2">
      <c r="A13">
        <v>1340684</v>
      </c>
      <c r="B13">
        <v>5921.19</v>
      </c>
    </row>
    <row r="14" spans="1:2">
      <c r="A14">
        <v>1367231</v>
      </c>
      <c r="B14">
        <v>209.88</v>
      </c>
    </row>
    <row r="15" spans="1:2">
      <c r="A15">
        <v>1438635</v>
      </c>
      <c r="B15">
        <v>4201.56</v>
      </c>
    </row>
    <row r="16" spans="1:2">
      <c r="A16">
        <v>1440787</v>
      </c>
      <c r="B16">
        <v>2921.49</v>
      </c>
    </row>
    <row r="17" spans="1:2">
      <c r="A17">
        <v>1844773</v>
      </c>
      <c r="B17">
        <v>4575.78</v>
      </c>
    </row>
    <row r="18" spans="1:2">
      <c r="A18">
        <v>1980518</v>
      </c>
      <c r="B18">
        <v>16.83</v>
      </c>
    </row>
    <row r="19" spans="1:2">
      <c r="A19">
        <v>2074755</v>
      </c>
      <c r="B19">
        <v>293.04</v>
      </c>
    </row>
    <row r="20" spans="1:2">
      <c r="A20">
        <v>2260443</v>
      </c>
      <c r="B20">
        <v>5262.84</v>
      </c>
    </row>
    <row r="21" spans="1:2">
      <c r="A21">
        <v>2279276</v>
      </c>
      <c r="B21">
        <v>0</v>
      </c>
    </row>
    <row r="22" spans="1:2">
      <c r="A22">
        <v>2422645</v>
      </c>
      <c r="B22">
        <v>6269.67</v>
      </c>
    </row>
    <row r="23" spans="1:2">
      <c r="A23">
        <v>2486469</v>
      </c>
      <c r="B23">
        <v>2525.49</v>
      </c>
    </row>
    <row r="24" spans="1:2">
      <c r="A24">
        <v>2523452</v>
      </c>
      <c r="B24">
        <v>931.59</v>
      </c>
    </row>
    <row r="25" spans="1:2">
      <c r="A25">
        <v>2887480</v>
      </c>
      <c r="B25">
        <v>1318.68</v>
      </c>
    </row>
    <row r="26" spans="1:2">
      <c r="A26">
        <v>2981873</v>
      </c>
      <c r="B26">
        <v>940.5</v>
      </c>
    </row>
    <row r="27" spans="1:2">
      <c r="A27">
        <v>3019264</v>
      </c>
      <c r="B27">
        <v>1597.86</v>
      </c>
    </row>
    <row r="28" spans="1:2">
      <c r="A28">
        <v>3285303</v>
      </c>
      <c r="B28">
        <v>7361.64</v>
      </c>
    </row>
    <row r="29" spans="1:2">
      <c r="A29">
        <v>3439656</v>
      </c>
      <c r="B29">
        <v>1385.01</v>
      </c>
    </row>
    <row r="30" spans="1:2">
      <c r="A30">
        <v>3471879</v>
      </c>
      <c r="B30">
        <v>7324.02</v>
      </c>
    </row>
    <row r="31" spans="1:2">
      <c r="A31">
        <v>3530069</v>
      </c>
      <c r="B31">
        <v>1544.4</v>
      </c>
    </row>
    <row r="32" spans="1:2">
      <c r="A32">
        <v>3566686</v>
      </c>
      <c r="B32">
        <v>627.66</v>
      </c>
    </row>
    <row r="33" spans="1:2">
      <c r="A33">
        <v>4043094</v>
      </c>
      <c r="B33">
        <v>1912.68</v>
      </c>
    </row>
    <row r="34" spans="1:2">
      <c r="A34">
        <v>4089468</v>
      </c>
      <c r="B34">
        <v>2146.32</v>
      </c>
    </row>
    <row r="35" spans="1:2">
      <c r="A35">
        <v>4225595</v>
      </c>
      <c r="B35">
        <v>100.98</v>
      </c>
    </row>
    <row r="36" spans="1:2">
      <c r="A36">
        <v>4265984</v>
      </c>
      <c r="B36">
        <v>1520.64</v>
      </c>
    </row>
    <row r="37" spans="1:2">
      <c r="A37">
        <v>4347525</v>
      </c>
      <c r="B37">
        <v>3619.44</v>
      </c>
    </row>
    <row r="38" spans="1:2">
      <c r="A38">
        <v>4355254</v>
      </c>
      <c r="B38">
        <v>891</v>
      </c>
    </row>
    <row r="39" spans="1:2">
      <c r="A39">
        <v>4355349</v>
      </c>
      <c r="B39">
        <v>2137.41</v>
      </c>
    </row>
    <row r="40" spans="1:2">
      <c r="A40">
        <v>4410017</v>
      </c>
      <c r="B40">
        <v>2990.79</v>
      </c>
    </row>
    <row r="41" spans="1:2">
      <c r="A41">
        <v>4503785</v>
      </c>
      <c r="B41">
        <v>2965.05</v>
      </c>
    </row>
    <row r="42" spans="1:2">
      <c r="A42">
        <v>4514679</v>
      </c>
      <c r="B42">
        <v>1993.86</v>
      </c>
    </row>
    <row r="43" spans="1:2">
      <c r="A43">
        <v>4535655</v>
      </c>
      <c r="B43">
        <v>16.83</v>
      </c>
    </row>
    <row r="44" spans="1:2">
      <c r="A44">
        <v>4540573</v>
      </c>
      <c r="B44">
        <v>4240.17</v>
      </c>
    </row>
    <row r="45" spans="1:2">
      <c r="A45">
        <v>4549744</v>
      </c>
      <c r="B45">
        <v>4433.22</v>
      </c>
    </row>
    <row r="46" spans="1:2">
      <c r="A46">
        <v>4571255</v>
      </c>
      <c r="B46">
        <v>5219.28</v>
      </c>
    </row>
    <row r="47" spans="1:2">
      <c r="A47">
        <v>4573566</v>
      </c>
      <c r="B47">
        <v>4914.36</v>
      </c>
    </row>
    <row r="48" spans="1:2">
      <c r="A48">
        <v>4573871</v>
      </c>
      <c r="B48">
        <v>4286.7</v>
      </c>
    </row>
    <row r="49" spans="1:2">
      <c r="A49">
        <v>4589223</v>
      </c>
      <c r="B49">
        <v>6968.61</v>
      </c>
    </row>
    <row r="50" spans="1:2">
      <c r="A50">
        <v>4591370</v>
      </c>
      <c r="B50">
        <v>4921.29</v>
      </c>
    </row>
    <row r="51" spans="1:2">
      <c r="A51">
        <v>4608063</v>
      </c>
      <c r="B51">
        <v>353.43</v>
      </c>
    </row>
    <row r="52" spans="1:2">
      <c r="A52">
        <v>4610666</v>
      </c>
      <c r="B52">
        <v>4303.53</v>
      </c>
    </row>
    <row r="53" spans="1:2">
      <c r="A53">
        <v>4620826</v>
      </c>
      <c r="B53">
        <v>663.3</v>
      </c>
    </row>
    <row r="54" spans="1:2">
      <c r="A54">
        <v>4634307</v>
      </c>
      <c r="B54">
        <v>1799.82</v>
      </c>
    </row>
    <row r="55" spans="1:2">
      <c r="A55">
        <v>4654347</v>
      </c>
      <c r="B55">
        <v>2403.72</v>
      </c>
    </row>
    <row r="56" spans="1:2">
      <c r="A56">
        <v>4664740</v>
      </c>
      <c r="B56">
        <v>644.49</v>
      </c>
    </row>
    <row r="57" spans="1:2">
      <c r="A57">
        <v>4665756</v>
      </c>
      <c r="B57">
        <v>1178.1</v>
      </c>
    </row>
    <row r="58" spans="1:2">
      <c r="A58">
        <v>4671352</v>
      </c>
      <c r="B58">
        <v>486.09</v>
      </c>
    </row>
    <row r="59" spans="1:2">
      <c r="A59">
        <v>4676053</v>
      </c>
      <c r="B59">
        <v>5211.36</v>
      </c>
    </row>
    <row r="60" spans="1:2">
      <c r="A60">
        <v>4687336</v>
      </c>
      <c r="B60">
        <v>2539.35</v>
      </c>
    </row>
    <row r="61" spans="1:2">
      <c r="A61">
        <v>4694879</v>
      </c>
      <c r="B61">
        <v>2609.64</v>
      </c>
    </row>
    <row r="62" spans="1:2">
      <c r="A62">
        <v>4697395</v>
      </c>
      <c r="B62">
        <v>536.58</v>
      </c>
    </row>
    <row r="63" spans="1:2">
      <c r="A63">
        <v>4702581</v>
      </c>
      <c r="B63">
        <v>6420.15</v>
      </c>
    </row>
    <row r="64" spans="1:2">
      <c r="A64">
        <v>4727309</v>
      </c>
      <c r="B64">
        <v>1981.98</v>
      </c>
    </row>
    <row r="65" spans="1:2">
      <c r="A65">
        <v>4742088</v>
      </c>
      <c r="B65">
        <v>3360.06</v>
      </c>
    </row>
    <row r="66" spans="1:2">
      <c r="A66">
        <v>4780923</v>
      </c>
      <c r="B66">
        <v>1848.33</v>
      </c>
    </row>
    <row r="67" spans="1:2">
      <c r="A67">
        <v>4872376</v>
      </c>
      <c r="B67">
        <v>495.99</v>
      </c>
    </row>
    <row r="68" spans="1:2">
      <c r="A68">
        <v>4891192</v>
      </c>
      <c r="B68">
        <v>3468.96</v>
      </c>
    </row>
    <row r="69" spans="1:2">
      <c r="A69">
        <v>4902329</v>
      </c>
      <c r="B69">
        <v>3628.35</v>
      </c>
    </row>
    <row r="70" spans="1:2">
      <c r="A70">
        <v>4908494</v>
      </c>
      <c r="B70">
        <v>1493.91</v>
      </c>
    </row>
    <row r="71" spans="1:2">
      <c r="A71">
        <v>4909378</v>
      </c>
      <c r="B71">
        <v>1574.1</v>
      </c>
    </row>
    <row r="72" spans="1:2">
      <c r="A72">
        <v>4926793</v>
      </c>
      <c r="B72">
        <v>1688.94</v>
      </c>
    </row>
    <row r="73" spans="1:2">
      <c r="A73">
        <v>4952152</v>
      </c>
      <c r="B73">
        <v>2719.53</v>
      </c>
    </row>
    <row r="74" spans="1:2">
      <c r="A74">
        <v>5025433</v>
      </c>
      <c r="B74">
        <v>2330.46</v>
      </c>
    </row>
    <row r="75" spans="1:2">
      <c r="A75">
        <v>5036274</v>
      </c>
      <c r="B75">
        <v>596.97</v>
      </c>
    </row>
    <row r="76" spans="1:2">
      <c r="A76">
        <v>5046111</v>
      </c>
      <c r="B76">
        <v>462.33</v>
      </c>
    </row>
    <row r="77" spans="1:2">
      <c r="A77">
        <v>5046496</v>
      </c>
      <c r="B77">
        <v>3744.18</v>
      </c>
    </row>
    <row r="78" spans="1:2">
      <c r="A78">
        <v>5058578</v>
      </c>
      <c r="B78">
        <v>1086.03</v>
      </c>
    </row>
    <row r="79" spans="1:2">
      <c r="A79">
        <v>5061023</v>
      </c>
      <c r="B79">
        <v>168.3</v>
      </c>
    </row>
    <row r="80" spans="1:2">
      <c r="A80">
        <v>5062979</v>
      </c>
      <c r="B80">
        <v>1123.65</v>
      </c>
    </row>
    <row r="81" spans="1:2">
      <c r="A81">
        <v>5068174</v>
      </c>
      <c r="B81">
        <v>1008.81</v>
      </c>
    </row>
    <row r="82" spans="1:2">
      <c r="A82">
        <v>5077579</v>
      </c>
      <c r="B82">
        <v>1646.37</v>
      </c>
    </row>
    <row r="83" spans="1:2">
      <c r="A83">
        <v>5077620</v>
      </c>
      <c r="B83">
        <v>1377.09</v>
      </c>
    </row>
    <row r="84" spans="1:2">
      <c r="A84">
        <v>5084605</v>
      </c>
      <c r="B84">
        <v>663.3</v>
      </c>
    </row>
    <row r="85" spans="1:2">
      <c r="A85">
        <v>5085347</v>
      </c>
      <c r="B85">
        <v>875.16</v>
      </c>
    </row>
    <row r="86" spans="1:2">
      <c r="A86" t="s">
        <v>2</v>
      </c>
      <c r="B86">
        <v>212565.87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9"/>
  <sheetViews>
    <sheetView tabSelected="1" workbookViewId="0">
      <selection activeCell="C2" sqref="C2"/>
    </sheetView>
  </sheetViews>
  <sheetFormatPr defaultColWidth="9.14285714285714" defaultRowHeight="15"/>
  <cols>
    <col min="2" max="2" width="11.1428571428571" customWidth="1"/>
    <col min="3" max="3" width="26.4285714285714" customWidth="1"/>
    <col min="4" max="4" width="19.4285714285714" customWidth="1"/>
    <col min="5" max="5" width="14.4285714285714" customWidth="1"/>
    <col min="17" max="17" width="10.1428571428571" customWidth="1"/>
    <col min="19" max="19" width="18.2857142857143" customWidth="1"/>
    <col min="20" max="20" width="20.8571428571429" customWidth="1"/>
  </cols>
  <sheetData>
    <row r="1" spans="19:19">
      <c r="S1" s="7">
        <f>+SUBTOTAL(9,S3:S1811)</f>
        <v>212565.87</v>
      </c>
    </row>
    <row r="2" ht="60" spans="1:20">
      <c r="A2" s="1" t="s">
        <v>0</v>
      </c>
      <c r="B2" s="2" t="s">
        <v>3</v>
      </c>
      <c r="C2" s="1" t="s">
        <v>4</v>
      </c>
      <c r="D2" s="1" t="s">
        <v>5</v>
      </c>
      <c r="E2" s="1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1" t="s">
        <v>21</v>
      </c>
    </row>
    <row r="3" spans="1:20">
      <c r="A3" s="4">
        <v>115423</v>
      </c>
      <c r="B3" s="5">
        <v>45511</v>
      </c>
      <c r="C3" s="4" t="s">
        <v>22</v>
      </c>
      <c r="D3" s="4" t="s">
        <v>23</v>
      </c>
      <c r="E3" s="4" t="s">
        <v>24</v>
      </c>
      <c r="F3" s="4">
        <v>17</v>
      </c>
      <c r="G3" s="4">
        <v>0</v>
      </c>
      <c r="H3" s="4">
        <v>6</v>
      </c>
      <c r="I3" s="4">
        <v>0</v>
      </c>
      <c r="J3">
        <v>17</v>
      </c>
      <c r="K3">
        <v>22</v>
      </c>
      <c r="L3">
        <v>8</v>
      </c>
      <c r="M3">
        <f>F3*J3</f>
        <v>289</v>
      </c>
      <c r="N3">
        <f>G3*K3</f>
        <v>0</v>
      </c>
      <c r="O3">
        <f>H3*L3</f>
        <v>48</v>
      </c>
      <c r="P3">
        <f>I3*2.5</f>
        <v>0</v>
      </c>
      <c r="Q3">
        <f>M3+N3+O3+P3</f>
        <v>337</v>
      </c>
      <c r="R3">
        <f>Q3*1%</f>
        <v>3.37</v>
      </c>
      <c r="S3">
        <f>Q3-R3</f>
        <v>333.63</v>
      </c>
      <c r="T3" t="s">
        <v>25</v>
      </c>
    </row>
    <row r="4" spans="1:20">
      <c r="A4" s="4">
        <v>115423</v>
      </c>
      <c r="B4" s="5">
        <v>45512</v>
      </c>
      <c r="C4" s="4" t="s">
        <v>22</v>
      </c>
      <c r="D4" s="4" t="s">
        <v>23</v>
      </c>
      <c r="E4" s="4" t="s">
        <v>24</v>
      </c>
      <c r="F4" s="4">
        <v>29</v>
      </c>
      <c r="G4" s="4">
        <v>0</v>
      </c>
      <c r="H4" s="4">
        <v>6</v>
      </c>
      <c r="I4" s="4">
        <v>0</v>
      </c>
      <c r="J4">
        <v>17</v>
      </c>
      <c r="K4">
        <v>22</v>
      </c>
      <c r="L4">
        <v>8</v>
      </c>
      <c r="M4">
        <f t="shared" ref="M4:M67" si="0">F4*J4</f>
        <v>493</v>
      </c>
      <c r="N4">
        <f t="shared" ref="N4:N67" si="1">G4*K4</f>
        <v>0</v>
      </c>
      <c r="O4">
        <f t="shared" ref="O4:O67" si="2">H4*L4</f>
        <v>48</v>
      </c>
      <c r="P4">
        <f t="shared" ref="P4:P67" si="3">I4*2.5</f>
        <v>0</v>
      </c>
      <c r="Q4">
        <f t="shared" ref="Q4:Q67" si="4">M4+N4+O4+P4</f>
        <v>541</v>
      </c>
      <c r="R4">
        <f t="shared" ref="R4:R67" si="5">Q4*1%</f>
        <v>5.41</v>
      </c>
      <c r="S4">
        <f t="shared" ref="S4:S67" si="6">Q4-R4</f>
        <v>535.59</v>
      </c>
      <c r="T4" t="s">
        <v>25</v>
      </c>
    </row>
    <row r="5" spans="1:20">
      <c r="A5" s="4">
        <v>115423</v>
      </c>
      <c r="B5" s="5">
        <v>45513</v>
      </c>
      <c r="C5" s="4" t="s">
        <v>22</v>
      </c>
      <c r="D5" s="4" t="s">
        <v>23</v>
      </c>
      <c r="E5" s="4" t="s">
        <v>24</v>
      </c>
      <c r="F5" s="4">
        <v>9</v>
      </c>
      <c r="G5" s="4">
        <v>0</v>
      </c>
      <c r="H5" s="4">
        <v>2</v>
      </c>
      <c r="I5" s="4">
        <v>0</v>
      </c>
      <c r="J5">
        <v>17</v>
      </c>
      <c r="K5">
        <v>22</v>
      </c>
      <c r="L5">
        <v>8</v>
      </c>
      <c r="M5">
        <f t="shared" si="0"/>
        <v>153</v>
      </c>
      <c r="N5">
        <f t="shared" si="1"/>
        <v>0</v>
      </c>
      <c r="O5">
        <f t="shared" si="2"/>
        <v>16</v>
      </c>
      <c r="P5">
        <f t="shared" si="3"/>
        <v>0</v>
      </c>
      <c r="Q5">
        <f t="shared" si="4"/>
        <v>169</v>
      </c>
      <c r="R5">
        <f t="shared" si="5"/>
        <v>1.69</v>
      </c>
      <c r="S5">
        <f t="shared" si="6"/>
        <v>167.31</v>
      </c>
      <c r="T5" t="s">
        <v>25</v>
      </c>
    </row>
    <row r="6" spans="1:20">
      <c r="A6" s="4">
        <v>218619</v>
      </c>
      <c r="B6" s="5">
        <v>45510</v>
      </c>
      <c r="C6" s="4" t="s">
        <v>26</v>
      </c>
      <c r="D6" s="4" t="s">
        <v>27</v>
      </c>
      <c r="E6" s="4" t="s">
        <v>24</v>
      </c>
      <c r="F6" s="4">
        <v>48</v>
      </c>
      <c r="G6" s="4">
        <v>21</v>
      </c>
      <c r="H6" s="4">
        <v>12</v>
      </c>
      <c r="I6" s="4">
        <v>0</v>
      </c>
      <c r="J6">
        <v>17</v>
      </c>
      <c r="K6">
        <v>22</v>
      </c>
      <c r="L6">
        <v>8</v>
      </c>
      <c r="M6">
        <f t="shared" si="0"/>
        <v>816</v>
      </c>
      <c r="N6">
        <f t="shared" si="1"/>
        <v>462</v>
      </c>
      <c r="O6">
        <f t="shared" si="2"/>
        <v>96</v>
      </c>
      <c r="P6">
        <f t="shared" si="3"/>
        <v>0</v>
      </c>
      <c r="Q6">
        <f t="shared" si="4"/>
        <v>1374</v>
      </c>
      <c r="R6">
        <f t="shared" si="5"/>
        <v>13.74</v>
      </c>
      <c r="S6">
        <f t="shared" si="6"/>
        <v>1360.26</v>
      </c>
      <c r="T6" t="s">
        <v>25</v>
      </c>
    </row>
    <row r="7" spans="1:20">
      <c r="A7" s="4">
        <v>218619</v>
      </c>
      <c r="B7" s="5">
        <v>45511</v>
      </c>
      <c r="C7" s="4" t="s">
        <v>26</v>
      </c>
      <c r="D7" s="4" t="s">
        <v>27</v>
      </c>
      <c r="E7" s="4" t="s">
        <v>24</v>
      </c>
      <c r="F7" s="4">
        <v>37</v>
      </c>
      <c r="G7" s="4">
        <v>25</v>
      </c>
      <c r="H7" s="4">
        <v>5</v>
      </c>
      <c r="I7" s="4">
        <v>0</v>
      </c>
      <c r="J7">
        <v>17</v>
      </c>
      <c r="K7">
        <v>22</v>
      </c>
      <c r="L7">
        <v>8</v>
      </c>
      <c r="M7">
        <f t="shared" si="0"/>
        <v>629</v>
      </c>
      <c r="N7">
        <f t="shared" si="1"/>
        <v>550</v>
      </c>
      <c r="O7">
        <f t="shared" si="2"/>
        <v>40</v>
      </c>
      <c r="P7">
        <f t="shared" si="3"/>
        <v>0</v>
      </c>
      <c r="Q7">
        <f t="shared" si="4"/>
        <v>1219</v>
      </c>
      <c r="R7">
        <f t="shared" si="5"/>
        <v>12.19</v>
      </c>
      <c r="S7">
        <f t="shared" si="6"/>
        <v>1206.81</v>
      </c>
      <c r="T7" t="s">
        <v>25</v>
      </c>
    </row>
    <row r="8" spans="1:20">
      <c r="A8" s="4">
        <v>218619</v>
      </c>
      <c r="B8" s="5">
        <v>45512</v>
      </c>
      <c r="C8" s="4" t="s">
        <v>26</v>
      </c>
      <c r="D8" s="4" t="s">
        <v>27</v>
      </c>
      <c r="E8" s="4" t="s">
        <v>24</v>
      </c>
      <c r="F8" s="4">
        <v>22</v>
      </c>
      <c r="G8" s="4">
        <v>16</v>
      </c>
      <c r="H8" s="4">
        <v>6</v>
      </c>
      <c r="I8" s="4">
        <v>0</v>
      </c>
      <c r="J8">
        <v>17</v>
      </c>
      <c r="K8">
        <v>22</v>
      </c>
      <c r="L8">
        <v>8</v>
      </c>
      <c r="M8">
        <f t="shared" si="0"/>
        <v>374</v>
      </c>
      <c r="N8">
        <f t="shared" si="1"/>
        <v>352</v>
      </c>
      <c r="O8">
        <f t="shared" si="2"/>
        <v>48</v>
      </c>
      <c r="P8">
        <f t="shared" si="3"/>
        <v>0</v>
      </c>
      <c r="Q8">
        <f t="shared" si="4"/>
        <v>774</v>
      </c>
      <c r="R8">
        <f t="shared" si="5"/>
        <v>7.74</v>
      </c>
      <c r="S8">
        <f t="shared" si="6"/>
        <v>766.26</v>
      </c>
      <c r="T8" t="s">
        <v>25</v>
      </c>
    </row>
    <row r="9" spans="1:20">
      <c r="A9" s="4">
        <v>218619</v>
      </c>
      <c r="B9" s="5">
        <v>45513</v>
      </c>
      <c r="C9" s="4" t="s">
        <v>26</v>
      </c>
      <c r="D9" s="4" t="s">
        <v>27</v>
      </c>
      <c r="E9" s="4" t="s">
        <v>24</v>
      </c>
      <c r="F9" s="4">
        <v>44</v>
      </c>
      <c r="G9" s="4">
        <v>25</v>
      </c>
      <c r="H9" s="4">
        <v>17</v>
      </c>
      <c r="I9" s="4">
        <v>0</v>
      </c>
      <c r="J9">
        <v>17</v>
      </c>
      <c r="K9">
        <v>22</v>
      </c>
      <c r="L9">
        <v>8</v>
      </c>
      <c r="M9">
        <f t="shared" si="0"/>
        <v>748</v>
      </c>
      <c r="N9">
        <f t="shared" si="1"/>
        <v>550</v>
      </c>
      <c r="O9">
        <f t="shared" si="2"/>
        <v>136</v>
      </c>
      <c r="P9">
        <f t="shared" si="3"/>
        <v>0</v>
      </c>
      <c r="Q9">
        <f t="shared" si="4"/>
        <v>1434</v>
      </c>
      <c r="R9">
        <f t="shared" si="5"/>
        <v>14.34</v>
      </c>
      <c r="S9">
        <f t="shared" si="6"/>
        <v>1419.66</v>
      </c>
      <c r="T9" t="s">
        <v>25</v>
      </c>
    </row>
    <row r="10" spans="1:20">
      <c r="A10" s="4">
        <v>218619</v>
      </c>
      <c r="B10" s="5">
        <v>45514</v>
      </c>
      <c r="C10" s="4" t="s">
        <v>26</v>
      </c>
      <c r="D10" s="4" t="s">
        <v>27</v>
      </c>
      <c r="E10" s="4" t="s">
        <v>24</v>
      </c>
      <c r="F10" s="4">
        <v>29</v>
      </c>
      <c r="G10" s="4">
        <v>23</v>
      </c>
      <c r="H10" s="4">
        <v>29</v>
      </c>
      <c r="I10" s="4">
        <v>0</v>
      </c>
      <c r="J10">
        <v>17</v>
      </c>
      <c r="K10">
        <v>22</v>
      </c>
      <c r="L10">
        <v>8</v>
      </c>
      <c r="M10">
        <f t="shared" si="0"/>
        <v>493</v>
      </c>
      <c r="N10">
        <f t="shared" si="1"/>
        <v>506</v>
      </c>
      <c r="O10">
        <f t="shared" si="2"/>
        <v>232</v>
      </c>
      <c r="P10">
        <f t="shared" si="3"/>
        <v>0</v>
      </c>
      <c r="Q10">
        <f t="shared" si="4"/>
        <v>1231</v>
      </c>
      <c r="R10">
        <f t="shared" si="5"/>
        <v>12.31</v>
      </c>
      <c r="S10">
        <f t="shared" si="6"/>
        <v>1218.69</v>
      </c>
      <c r="T10" t="s">
        <v>25</v>
      </c>
    </row>
    <row r="11" spans="1:20">
      <c r="A11" s="4">
        <v>218619</v>
      </c>
      <c r="B11" s="5">
        <v>45515</v>
      </c>
      <c r="C11" s="4" t="s">
        <v>26</v>
      </c>
      <c r="D11" s="4" t="s">
        <v>27</v>
      </c>
      <c r="E11" s="4" t="s">
        <v>24</v>
      </c>
      <c r="F11" s="4">
        <v>32</v>
      </c>
      <c r="G11" s="4">
        <v>28</v>
      </c>
      <c r="H11" s="4">
        <v>12</v>
      </c>
      <c r="I11" s="4">
        <v>0</v>
      </c>
      <c r="J11">
        <v>17</v>
      </c>
      <c r="K11">
        <v>22</v>
      </c>
      <c r="L11">
        <v>8</v>
      </c>
      <c r="M11">
        <f t="shared" si="0"/>
        <v>544</v>
      </c>
      <c r="N11">
        <f t="shared" si="1"/>
        <v>616</v>
      </c>
      <c r="O11">
        <f t="shared" si="2"/>
        <v>96</v>
      </c>
      <c r="P11">
        <f t="shared" si="3"/>
        <v>0</v>
      </c>
      <c r="Q11">
        <f t="shared" si="4"/>
        <v>1256</v>
      </c>
      <c r="R11">
        <f t="shared" si="5"/>
        <v>12.56</v>
      </c>
      <c r="S11">
        <f t="shared" si="6"/>
        <v>1243.44</v>
      </c>
      <c r="T11" t="s">
        <v>25</v>
      </c>
    </row>
    <row r="12" spans="1:20">
      <c r="A12" s="4">
        <v>641800</v>
      </c>
      <c r="B12" s="5">
        <v>45509</v>
      </c>
      <c r="C12" s="4" t="s">
        <v>28</v>
      </c>
      <c r="D12" s="4" t="s">
        <v>29</v>
      </c>
      <c r="E12" s="4" t="s">
        <v>24</v>
      </c>
      <c r="F12" s="4">
        <v>45</v>
      </c>
      <c r="G12" s="4">
        <v>0</v>
      </c>
      <c r="H12" s="4">
        <v>5</v>
      </c>
      <c r="I12" s="4">
        <v>0</v>
      </c>
      <c r="J12">
        <v>17</v>
      </c>
      <c r="K12">
        <v>22</v>
      </c>
      <c r="L12">
        <v>8</v>
      </c>
      <c r="M12">
        <f t="shared" si="0"/>
        <v>765</v>
      </c>
      <c r="N12">
        <f t="shared" si="1"/>
        <v>0</v>
      </c>
      <c r="O12">
        <f t="shared" si="2"/>
        <v>40</v>
      </c>
      <c r="P12">
        <f t="shared" si="3"/>
        <v>0</v>
      </c>
      <c r="Q12">
        <f t="shared" si="4"/>
        <v>805</v>
      </c>
      <c r="R12">
        <f t="shared" si="5"/>
        <v>8.05</v>
      </c>
      <c r="S12">
        <f t="shared" si="6"/>
        <v>796.95</v>
      </c>
      <c r="T12" t="s">
        <v>25</v>
      </c>
    </row>
    <row r="13" spans="1:20">
      <c r="A13" s="4">
        <v>641800</v>
      </c>
      <c r="B13" s="5">
        <v>45513</v>
      </c>
      <c r="C13" s="4" t="s">
        <v>28</v>
      </c>
      <c r="D13" s="4" t="s">
        <v>29</v>
      </c>
      <c r="E13" s="4" t="s">
        <v>24</v>
      </c>
      <c r="F13" s="4">
        <v>21</v>
      </c>
      <c r="G13" s="4">
        <v>11</v>
      </c>
      <c r="H13" s="4">
        <v>1</v>
      </c>
      <c r="I13" s="4">
        <v>0</v>
      </c>
      <c r="J13">
        <v>17</v>
      </c>
      <c r="K13">
        <v>22</v>
      </c>
      <c r="L13">
        <v>8</v>
      </c>
      <c r="M13">
        <f t="shared" si="0"/>
        <v>357</v>
      </c>
      <c r="N13">
        <f t="shared" si="1"/>
        <v>242</v>
      </c>
      <c r="O13">
        <f t="shared" si="2"/>
        <v>8</v>
      </c>
      <c r="P13">
        <f t="shared" si="3"/>
        <v>0</v>
      </c>
      <c r="Q13">
        <f t="shared" si="4"/>
        <v>607</v>
      </c>
      <c r="R13">
        <f t="shared" si="5"/>
        <v>6.07</v>
      </c>
      <c r="S13">
        <f t="shared" si="6"/>
        <v>600.93</v>
      </c>
      <c r="T13" t="s">
        <v>25</v>
      </c>
    </row>
    <row r="14" spans="1:20">
      <c r="A14" s="4">
        <v>652514</v>
      </c>
      <c r="B14" s="5">
        <v>45509</v>
      </c>
      <c r="C14" s="4" t="s">
        <v>30</v>
      </c>
      <c r="D14" s="4" t="s">
        <v>31</v>
      </c>
      <c r="E14" s="4" t="s">
        <v>32</v>
      </c>
      <c r="F14" s="4">
        <v>47</v>
      </c>
      <c r="G14" s="4">
        <v>0</v>
      </c>
      <c r="H14" s="4">
        <v>6</v>
      </c>
      <c r="I14" s="4">
        <v>0</v>
      </c>
      <c r="J14">
        <v>17</v>
      </c>
      <c r="K14">
        <v>22</v>
      </c>
      <c r="L14">
        <v>8</v>
      </c>
      <c r="M14">
        <f t="shared" si="0"/>
        <v>799</v>
      </c>
      <c r="N14">
        <f t="shared" si="1"/>
        <v>0</v>
      </c>
      <c r="O14">
        <f t="shared" si="2"/>
        <v>48</v>
      </c>
      <c r="P14">
        <f t="shared" si="3"/>
        <v>0</v>
      </c>
      <c r="Q14">
        <f t="shared" si="4"/>
        <v>847</v>
      </c>
      <c r="R14">
        <f t="shared" si="5"/>
        <v>8.47</v>
      </c>
      <c r="S14">
        <f t="shared" si="6"/>
        <v>838.53</v>
      </c>
      <c r="T14" t="s">
        <v>25</v>
      </c>
    </row>
    <row r="15" spans="1:20">
      <c r="A15" s="4">
        <v>652514</v>
      </c>
      <c r="B15" s="5">
        <v>45511</v>
      </c>
      <c r="C15" s="4" t="s">
        <v>30</v>
      </c>
      <c r="D15" s="4" t="s">
        <v>31</v>
      </c>
      <c r="E15" s="4" t="s">
        <v>32</v>
      </c>
      <c r="F15" s="4">
        <v>57</v>
      </c>
      <c r="G15" s="4">
        <v>0</v>
      </c>
      <c r="H15" s="4">
        <v>7</v>
      </c>
      <c r="I15" s="4">
        <v>0</v>
      </c>
      <c r="J15">
        <v>17</v>
      </c>
      <c r="K15">
        <v>22</v>
      </c>
      <c r="L15">
        <v>8</v>
      </c>
      <c r="M15">
        <f t="shared" si="0"/>
        <v>969</v>
      </c>
      <c r="N15">
        <f t="shared" si="1"/>
        <v>0</v>
      </c>
      <c r="O15">
        <f t="shared" si="2"/>
        <v>56</v>
      </c>
      <c r="P15">
        <f t="shared" si="3"/>
        <v>0</v>
      </c>
      <c r="Q15">
        <f t="shared" si="4"/>
        <v>1025</v>
      </c>
      <c r="R15">
        <f t="shared" si="5"/>
        <v>10.25</v>
      </c>
      <c r="S15">
        <f t="shared" si="6"/>
        <v>1014.75</v>
      </c>
      <c r="T15" t="s">
        <v>25</v>
      </c>
    </row>
    <row r="16" spans="1:20">
      <c r="A16" s="4">
        <v>652514</v>
      </c>
      <c r="B16" s="5">
        <v>45512</v>
      </c>
      <c r="C16" s="4" t="s">
        <v>30</v>
      </c>
      <c r="D16" s="4" t="s">
        <v>31</v>
      </c>
      <c r="E16" s="4" t="s">
        <v>32</v>
      </c>
      <c r="F16" s="4">
        <v>43</v>
      </c>
      <c r="G16" s="4">
        <v>19</v>
      </c>
      <c r="H16" s="4">
        <v>6</v>
      </c>
      <c r="I16" s="4">
        <v>0</v>
      </c>
      <c r="J16">
        <v>17</v>
      </c>
      <c r="K16">
        <v>22</v>
      </c>
      <c r="L16">
        <v>8</v>
      </c>
      <c r="M16">
        <f t="shared" si="0"/>
        <v>731</v>
      </c>
      <c r="N16">
        <f t="shared" si="1"/>
        <v>418</v>
      </c>
      <c r="O16">
        <f t="shared" si="2"/>
        <v>48</v>
      </c>
      <c r="P16">
        <f t="shared" si="3"/>
        <v>0</v>
      </c>
      <c r="Q16">
        <f t="shared" si="4"/>
        <v>1197</v>
      </c>
      <c r="R16">
        <f t="shared" si="5"/>
        <v>11.97</v>
      </c>
      <c r="S16">
        <f t="shared" si="6"/>
        <v>1185.03</v>
      </c>
      <c r="T16" t="s">
        <v>25</v>
      </c>
    </row>
    <row r="17" spans="1:20">
      <c r="A17" s="4">
        <v>652514</v>
      </c>
      <c r="B17" s="5">
        <v>45513</v>
      </c>
      <c r="C17" s="4" t="s">
        <v>30</v>
      </c>
      <c r="D17" s="4" t="s">
        <v>31</v>
      </c>
      <c r="E17" s="4" t="s">
        <v>32</v>
      </c>
      <c r="F17" s="4">
        <v>39</v>
      </c>
      <c r="G17" s="4">
        <v>0</v>
      </c>
      <c r="H17" s="4">
        <v>3</v>
      </c>
      <c r="I17" s="4">
        <v>0</v>
      </c>
      <c r="J17">
        <v>17</v>
      </c>
      <c r="K17">
        <v>22</v>
      </c>
      <c r="L17">
        <v>8</v>
      </c>
      <c r="M17">
        <f t="shared" si="0"/>
        <v>663</v>
      </c>
      <c r="N17">
        <f t="shared" si="1"/>
        <v>0</v>
      </c>
      <c r="O17">
        <f t="shared" si="2"/>
        <v>24</v>
      </c>
      <c r="P17">
        <f t="shared" si="3"/>
        <v>0</v>
      </c>
      <c r="Q17">
        <f t="shared" si="4"/>
        <v>687</v>
      </c>
      <c r="R17">
        <f t="shared" si="5"/>
        <v>6.87</v>
      </c>
      <c r="S17">
        <f t="shared" si="6"/>
        <v>680.13</v>
      </c>
      <c r="T17" t="s">
        <v>25</v>
      </c>
    </row>
    <row r="18" spans="1:20">
      <c r="A18" s="4">
        <v>652514</v>
      </c>
      <c r="B18" s="5">
        <v>45514</v>
      </c>
      <c r="C18" s="4" t="s">
        <v>30</v>
      </c>
      <c r="D18" s="4" t="s">
        <v>31</v>
      </c>
      <c r="E18" s="4" t="s">
        <v>32</v>
      </c>
      <c r="F18" s="4">
        <v>46</v>
      </c>
      <c r="G18" s="4">
        <v>0</v>
      </c>
      <c r="H18" s="4">
        <v>11</v>
      </c>
      <c r="I18" s="4">
        <v>0</v>
      </c>
      <c r="J18">
        <v>17</v>
      </c>
      <c r="K18">
        <v>22</v>
      </c>
      <c r="L18">
        <v>8</v>
      </c>
      <c r="M18">
        <f t="shared" si="0"/>
        <v>782</v>
      </c>
      <c r="N18">
        <f t="shared" si="1"/>
        <v>0</v>
      </c>
      <c r="O18">
        <f t="shared" si="2"/>
        <v>88</v>
      </c>
      <c r="P18">
        <f t="shared" si="3"/>
        <v>0</v>
      </c>
      <c r="Q18">
        <f t="shared" si="4"/>
        <v>870</v>
      </c>
      <c r="R18">
        <f t="shared" si="5"/>
        <v>8.7</v>
      </c>
      <c r="S18">
        <f t="shared" si="6"/>
        <v>861.3</v>
      </c>
      <c r="T18" t="s">
        <v>25</v>
      </c>
    </row>
    <row r="19" spans="1:20">
      <c r="A19" s="4">
        <v>652514</v>
      </c>
      <c r="B19" s="5">
        <v>45515</v>
      </c>
      <c r="C19" s="4" t="s">
        <v>30</v>
      </c>
      <c r="D19" s="4" t="s">
        <v>31</v>
      </c>
      <c r="E19" s="4" t="s">
        <v>32</v>
      </c>
      <c r="F19" s="4">
        <v>43</v>
      </c>
      <c r="G19" s="4">
        <v>0</v>
      </c>
      <c r="H19" s="4">
        <v>7</v>
      </c>
      <c r="I19" s="4">
        <v>0</v>
      </c>
      <c r="J19">
        <v>17</v>
      </c>
      <c r="K19">
        <v>22</v>
      </c>
      <c r="L19">
        <v>8</v>
      </c>
      <c r="M19">
        <f t="shared" si="0"/>
        <v>731</v>
      </c>
      <c r="N19">
        <f t="shared" si="1"/>
        <v>0</v>
      </c>
      <c r="O19">
        <f t="shared" si="2"/>
        <v>56</v>
      </c>
      <c r="P19">
        <f t="shared" si="3"/>
        <v>0</v>
      </c>
      <c r="Q19">
        <f t="shared" si="4"/>
        <v>787</v>
      </c>
      <c r="R19">
        <f t="shared" si="5"/>
        <v>7.87</v>
      </c>
      <c r="S19">
        <f t="shared" si="6"/>
        <v>779.13</v>
      </c>
      <c r="T19" t="s">
        <v>25</v>
      </c>
    </row>
    <row r="20" spans="1:20">
      <c r="A20" s="4">
        <v>656262</v>
      </c>
      <c r="B20" s="5">
        <v>45511</v>
      </c>
      <c r="C20" s="4" t="s">
        <v>33</v>
      </c>
      <c r="D20" s="4" t="s">
        <v>34</v>
      </c>
      <c r="E20" s="4" t="s">
        <v>24</v>
      </c>
      <c r="F20" s="4">
        <v>21</v>
      </c>
      <c r="G20" s="4">
        <v>0</v>
      </c>
      <c r="H20" s="4">
        <v>4</v>
      </c>
      <c r="I20" s="4">
        <v>0</v>
      </c>
      <c r="J20">
        <v>17</v>
      </c>
      <c r="K20">
        <v>22</v>
      </c>
      <c r="L20">
        <v>8</v>
      </c>
      <c r="M20">
        <f t="shared" si="0"/>
        <v>357</v>
      </c>
      <c r="N20">
        <f t="shared" si="1"/>
        <v>0</v>
      </c>
      <c r="O20">
        <f t="shared" si="2"/>
        <v>32</v>
      </c>
      <c r="P20">
        <f t="shared" si="3"/>
        <v>0</v>
      </c>
      <c r="Q20">
        <f t="shared" si="4"/>
        <v>389</v>
      </c>
      <c r="R20">
        <f t="shared" si="5"/>
        <v>3.89</v>
      </c>
      <c r="S20">
        <f t="shared" si="6"/>
        <v>385.11</v>
      </c>
      <c r="T20" t="s">
        <v>25</v>
      </c>
    </row>
    <row r="21" spans="1:20">
      <c r="A21" s="4">
        <v>656262</v>
      </c>
      <c r="B21" s="5">
        <v>45512</v>
      </c>
      <c r="C21" s="4" t="s">
        <v>33</v>
      </c>
      <c r="D21" s="4" t="s">
        <v>34</v>
      </c>
      <c r="E21" s="4" t="s">
        <v>24</v>
      </c>
      <c r="F21" s="4">
        <v>28</v>
      </c>
      <c r="G21" s="4">
        <v>0</v>
      </c>
      <c r="H21" s="4">
        <v>4</v>
      </c>
      <c r="I21" s="4">
        <v>0</v>
      </c>
      <c r="J21">
        <v>17</v>
      </c>
      <c r="K21">
        <v>22</v>
      </c>
      <c r="L21">
        <v>8</v>
      </c>
      <c r="M21">
        <f t="shared" si="0"/>
        <v>476</v>
      </c>
      <c r="N21">
        <f t="shared" si="1"/>
        <v>0</v>
      </c>
      <c r="O21">
        <f t="shared" si="2"/>
        <v>32</v>
      </c>
      <c r="P21">
        <f t="shared" si="3"/>
        <v>0</v>
      </c>
      <c r="Q21">
        <f t="shared" si="4"/>
        <v>508</v>
      </c>
      <c r="R21">
        <f t="shared" si="5"/>
        <v>5.08</v>
      </c>
      <c r="S21">
        <f t="shared" si="6"/>
        <v>502.92</v>
      </c>
      <c r="T21" t="s">
        <v>25</v>
      </c>
    </row>
    <row r="22" spans="1:20">
      <c r="A22" s="4">
        <v>656262</v>
      </c>
      <c r="B22" s="5">
        <v>45513</v>
      </c>
      <c r="C22" s="4" t="s">
        <v>33</v>
      </c>
      <c r="D22" s="4" t="s">
        <v>34</v>
      </c>
      <c r="E22" s="4" t="s">
        <v>24</v>
      </c>
      <c r="F22" s="4">
        <v>33</v>
      </c>
      <c r="G22" s="4">
        <v>0</v>
      </c>
      <c r="H22" s="4">
        <v>6</v>
      </c>
      <c r="I22" s="4">
        <v>0</v>
      </c>
      <c r="J22">
        <v>17</v>
      </c>
      <c r="K22">
        <v>22</v>
      </c>
      <c r="L22">
        <v>8</v>
      </c>
      <c r="M22">
        <f t="shared" si="0"/>
        <v>561</v>
      </c>
      <c r="N22">
        <f t="shared" si="1"/>
        <v>0</v>
      </c>
      <c r="O22">
        <f t="shared" si="2"/>
        <v>48</v>
      </c>
      <c r="P22">
        <f t="shared" si="3"/>
        <v>0</v>
      </c>
      <c r="Q22">
        <f t="shared" si="4"/>
        <v>609</v>
      </c>
      <c r="R22">
        <f t="shared" si="5"/>
        <v>6.09</v>
      </c>
      <c r="S22">
        <f t="shared" si="6"/>
        <v>602.91</v>
      </c>
      <c r="T22" t="s">
        <v>25</v>
      </c>
    </row>
    <row r="23" spans="1:20">
      <c r="A23" s="4">
        <v>656262</v>
      </c>
      <c r="B23" s="5">
        <v>45515</v>
      </c>
      <c r="C23" s="4" t="s">
        <v>33</v>
      </c>
      <c r="D23" s="4" t="s">
        <v>34</v>
      </c>
      <c r="E23" s="4" t="s">
        <v>24</v>
      </c>
      <c r="F23" s="4">
        <v>29</v>
      </c>
      <c r="G23" s="4">
        <v>0</v>
      </c>
      <c r="H23" s="4">
        <v>4</v>
      </c>
      <c r="I23" s="4">
        <v>0</v>
      </c>
      <c r="J23">
        <v>17</v>
      </c>
      <c r="K23">
        <v>22</v>
      </c>
      <c r="L23">
        <v>8</v>
      </c>
      <c r="M23">
        <f t="shared" si="0"/>
        <v>493</v>
      </c>
      <c r="N23">
        <f t="shared" si="1"/>
        <v>0</v>
      </c>
      <c r="O23">
        <f t="shared" si="2"/>
        <v>32</v>
      </c>
      <c r="P23">
        <f t="shared" si="3"/>
        <v>0</v>
      </c>
      <c r="Q23">
        <f t="shared" si="4"/>
        <v>525</v>
      </c>
      <c r="R23">
        <f t="shared" si="5"/>
        <v>5.25</v>
      </c>
      <c r="S23">
        <f t="shared" si="6"/>
        <v>519.75</v>
      </c>
      <c r="T23" t="s">
        <v>25</v>
      </c>
    </row>
    <row r="24" spans="1:20">
      <c r="A24" s="4">
        <v>719648</v>
      </c>
      <c r="B24" s="5">
        <v>45509</v>
      </c>
      <c r="C24" s="4" t="s">
        <v>35</v>
      </c>
      <c r="D24" s="4" t="s">
        <v>27</v>
      </c>
      <c r="E24" s="4" t="s">
        <v>24</v>
      </c>
      <c r="F24" s="4">
        <v>0</v>
      </c>
      <c r="G24" s="4">
        <v>16</v>
      </c>
      <c r="H24" s="4">
        <v>5</v>
      </c>
      <c r="I24" s="4">
        <v>0</v>
      </c>
      <c r="J24">
        <v>17</v>
      </c>
      <c r="K24">
        <v>22</v>
      </c>
      <c r="L24">
        <v>8</v>
      </c>
      <c r="M24">
        <f t="shared" si="0"/>
        <v>0</v>
      </c>
      <c r="N24">
        <f t="shared" si="1"/>
        <v>352</v>
      </c>
      <c r="O24">
        <f t="shared" si="2"/>
        <v>40</v>
      </c>
      <c r="P24">
        <f t="shared" si="3"/>
        <v>0</v>
      </c>
      <c r="Q24">
        <f t="shared" si="4"/>
        <v>392</v>
      </c>
      <c r="R24">
        <f t="shared" si="5"/>
        <v>3.92</v>
      </c>
      <c r="S24">
        <f t="shared" si="6"/>
        <v>388.08</v>
      </c>
      <c r="T24" t="s">
        <v>25</v>
      </c>
    </row>
    <row r="25" spans="1:20">
      <c r="A25" s="4">
        <v>719648</v>
      </c>
      <c r="B25" s="5">
        <v>45510</v>
      </c>
      <c r="C25" s="4" t="s">
        <v>35</v>
      </c>
      <c r="D25" s="4" t="s">
        <v>27</v>
      </c>
      <c r="E25" s="4" t="s">
        <v>24</v>
      </c>
      <c r="F25" s="4">
        <v>0</v>
      </c>
      <c r="G25" s="4">
        <v>12</v>
      </c>
      <c r="H25" s="4">
        <v>1</v>
      </c>
      <c r="I25" s="4">
        <v>0</v>
      </c>
      <c r="J25">
        <v>17</v>
      </c>
      <c r="K25">
        <v>22</v>
      </c>
      <c r="L25">
        <v>8</v>
      </c>
      <c r="M25">
        <f t="shared" si="0"/>
        <v>0</v>
      </c>
      <c r="N25">
        <f t="shared" si="1"/>
        <v>264</v>
      </c>
      <c r="O25">
        <f t="shared" si="2"/>
        <v>8</v>
      </c>
      <c r="P25">
        <f t="shared" si="3"/>
        <v>0</v>
      </c>
      <c r="Q25">
        <f t="shared" si="4"/>
        <v>272</v>
      </c>
      <c r="R25">
        <f t="shared" si="5"/>
        <v>2.72</v>
      </c>
      <c r="S25">
        <f t="shared" si="6"/>
        <v>269.28</v>
      </c>
      <c r="T25" t="s">
        <v>25</v>
      </c>
    </row>
    <row r="26" spans="1:20">
      <c r="A26" s="4">
        <v>719648</v>
      </c>
      <c r="B26" s="5">
        <v>45511</v>
      </c>
      <c r="C26" s="4" t="s">
        <v>35</v>
      </c>
      <c r="D26" s="4" t="s">
        <v>27</v>
      </c>
      <c r="E26" s="4" t="s">
        <v>24</v>
      </c>
      <c r="F26" s="4">
        <v>3</v>
      </c>
      <c r="G26" s="4">
        <v>0</v>
      </c>
      <c r="H26" s="4">
        <v>0</v>
      </c>
      <c r="I26" s="4">
        <v>0</v>
      </c>
      <c r="J26">
        <v>17</v>
      </c>
      <c r="K26">
        <v>22</v>
      </c>
      <c r="L26">
        <v>8</v>
      </c>
      <c r="M26">
        <f t="shared" si="0"/>
        <v>51</v>
      </c>
      <c r="N26">
        <f t="shared" si="1"/>
        <v>0</v>
      </c>
      <c r="O26">
        <f t="shared" si="2"/>
        <v>0</v>
      </c>
      <c r="P26">
        <f t="shared" si="3"/>
        <v>0</v>
      </c>
      <c r="Q26">
        <f t="shared" si="4"/>
        <v>51</v>
      </c>
      <c r="R26">
        <f t="shared" si="5"/>
        <v>0.51</v>
      </c>
      <c r="S26">
        <f t="shared" si="6"/>
        <v>50.49</v>
      </c>
      <c r="T26" t="s">
        <v>25</v>
      </c>
    </row>
    <row r="27" spans="1:20">
      <c r="A27" s="4">
        <v>719648</v>
      </c>
      <c r="B27" s="5">
        <v>45512</v>
      </c>
      <c r="C27" s="4" t="s">
        <v>35</v>
      </c>
      <c r="D27" s="4" t="s">
        <v>27</v>
      </c>
      <c r="E27" s="4" t="s">
        <v>24</v>
      </c>
      <c r="F27" s="4">
        <v>0</v>
      </c>
      <c r="G27" s="4">
        <v>8</v>
      </c>
      <c r="H27" s="4">
        <v>2</v>
      </c>
      <c r="I27" s="4">
        <v>0</v>
      </c>
      <c r="J27">
        <v>17</v>
      </c>
      <c r="K27">
        <v>22</v>
      </c>
      <c r="L27">
        <v>8</v>
      </c>
      <c r="M27">
        <f t="shared" si="0"/>
        <v>0</v>
      </c>
      <c r="N27">
        <f t="shared" si="1"/>
        <v>176</v>
      </c>
      <c r="O27">
        <f t="shared" si="2"/>
        <v>16</v>
      </c>
      <c r="P27">
        <f t="shared" si="3"/>
        <v>0</v>
      </c>
      <c r="Q27">
        <f t="shared" si="4"/>
        <v>192</v>
      </c>
      <c r="R27">
        <f t="shared" si="5"/>
        <v>1.92</v>
      </c>
      <c r="S27">
        <f t="shared" si="6"/>
        <v>190.08</v>
      </c>
      <c r="T27" t="s">
        <v>25</v>
      </c>
    </row>
    <row r="28" spans="1:20">
      <c r="A28" s="4">
        <v>719648</v>
      </c>
      <c r="B28" s="5">
        <v>45513</v>
      </c>
      <c r="C28" s="4" t="s">
        <v>35</v>
      </c>
      <c r="D28" s="4" t="s">
        <v>27</v>
      </c>
      <c r="E28" s="4" t="s">
        <v>24</v>
      </c>
      <c r="F28" s="4">
        <v>0</v>
      </c>
      <c r="G28" s="4">
        <v>9</v>
      </c>
      <c r="H28" s="4">
        <v>5</v>
      </c>
      <c r="I28" s="4">
        <v>0</v>
      </c>
      <c r="J28">
        <v>17</v>
      </c>
      <c r="K28">
        <v>22</v>
      </c>
      <c r="L28">
        <v>8</v>
      </c>
      <c r="M28">
        <f t="shared" si="0"/>
        <v>0</v>
      </c>
      <c r="N28">
        <f t="shared" si="1"/>
        <v>198</v>
      </c>
      <c r="O28">
        <f t="shared" si="2"/>
        <v>40</v>
      </c>
      <c r="P28">
        <f t="shared" si="3"/>
        <v>0</v>
      </c>
      <c r="Q28">
        <f t="shared" si="4"/>
        <v>238</v>
      </c>
      <c r="R28">
        <f t="shared" si="5"/>
        <v>2.38</v>
      </c>
      <c r="S28">
        <f t="shared" si="6"/>
        <v>235.62</v>
      </c>
      <c r="T28" t="s">
        <v>25</v>
      </c>
    </row>
    <row r="29" spans="1:20">
      <c r="A29" s="4">
        <v>719648</v>
      </c>
      <c r="B29" s="5">
        <v>45514</v>
      </c>
      <c r="C29" s="4" t="s">
        <v>35</v>
      </c>
      <c r="D29" s="4" t="s">
        <v>27</v>
      </c>
      <c r="E29" s="4" t="s">
        <v>24</v>
      </c>
      <c r="F29" s="4">
        <v>1</v>
      </c>
      <c r="G29" s="4">
        <v>15</v>
      </c>
      <c r="H29" s="4">
        <v>1</v>
      </c>
      <c r="I29" s="4">
        <v>0</v>
      </c>
      <c r="J29">
        <v>17</v>
      </c>
      <c r="K29">
        <v>22</v>
      </c>
      <c r="L29">
        <v>8</v>
      </c>
      <c r="M29">
        <f t="shared" si="0"/>
        <v>17</v>
      </c>
      <c r="N29">
        <f t="shared" si="1"/>
        <v>330</v>
      </c>
      <c r="O29">
        <f t="shared" si="2"/>
        <v>8</v>
      </c>
      <c r="P29">
        <f t="shared" si="3"/>
        <v>0</v>
      </c>
      <c r="Q29">
        <f t="shared" si="4"/>
        <v>355</v>
      </c>
      <c r="R29">
        <f t="shared" si="5"/>
        <v>3.55</v>
      </c>
      <c r="S29">
        <f t="shared" si="6"/>
        <v>351.45</v>
      </c>
      <c r="T29" t="s">
        <v>25</v>
      </c>
    </row>
    <row r="30" spans="1:20">
      <c r="A30" s="4">
        <v>719648</v>
      </c>
      <c r="B30" s="5">
        <v>45515</v>
      </c>
      <c r="C30" s="4" t="s">
        <v>35</v>
      </c>
      <c r="D30" s="4" t="s">
        <v>27</v>
      </c>
      <c r="E30" s="4" t="s">
        <v>24</v>
      </c>
      <c r="F30" s="4">
        <v>0</v>
      </c>
      <c r="G30" s="4">
        <v>12</v>
      </c>
      <c r="H30" s="4">
        <v>2</v>
      </c>
      <c r="I30" s="4">
        <v>0</v>
      </c>
      <c r="J30">
        <v>17</v>
      </c>
      <c r="K30">
        <v>22</v>
      </c>
      <c r="L30">
        <v>8</v>
      </c>
      <c r="M30">
        <f t="shared" si="0"/>
        <v>0</v>
      </c>
      <c r="N30">
        <f t="shared" si="1"/>
        <v>264</v>
      </c>
      <c r="O30">
        <f t="shared" si="2"/>
        <v>16</v>
      </c>
      <c r="P30">
        <f t="shared" si="3"/>
        <v>0</v>
      </c>
      <c r="Q30">
        <f t="shared" si="4"/>
        <v>280</v>
      </c>
      <c r="R30">
        <f t="shared" si="5"/>
        <v>2.8</v>
      </c>
      <c r="S30">
        <f t="shared" si="6"/>
        <v>277.2</v>
      </c>
      <c r="T30" t="s">
        <v>25</v>
      </c>
    </row>
    <row r="31" spans="1:20">
      <c r="A31" s="4">
        <v>989724</v>
      </c>
      <c r="B31" s="5">
        <v>45509</v>
      </c>
      <c r="C31" s="4" t="s">
        <v>36</v>
      </c>
      <c r="D31" s="4" t="s">
        <v>37</v>
      </c>
      <c r="E31" s="4" t="s">
        <v>24</v>
      </c>
      <c r="F31" s="4">
        <v>0</v>
      </c>
      <c r="G31" s="4">
        <v>11</v>
      </c>
      <c r="H31" s="4">
        <v>3</v>
      </c>
      <c r="I31" s="4">
        <v>0</v>
      </c>
      <c r="J31">
        <v>17</v>
      </c>
      <c r="K31">
        <v>22</v>
      </c>
      <c r="L31">
        <v>8</v>
      </c>
      <c r="M31">
        <f t="shared" si="0"/>
        <v>0</v>
      </c>
      <c r="N31">
        <f t="shared" si="1"/>
        <v>242</v>
      </c>
      <c r="O31">
        <f t="shared" si="2"/>
        <v>24</v>
      </c>
      <c r="P31">
        <f t="shared" si="3"/>
        <v>0</v>
      </c>
      <c r="Q31">
        <f t="shared" si="4"/>
        <v>266</v>
      </c>
      <c r="R31">
        <f t="shared" si="5"/>
        <v>2.66</v>
      </c>
      <c r="S31">
        <f t="shared" si="6"/>
        <v>263.34</v>
      </c>
      <c r="T31" t="s">
        <v>25</v>
      </c>
    </row>
    <row r="32" spans="1:20">
      <c r="A32" s="4">
        <v>989724</v>
      </c>
      <c r="B32" s="5">
        <v>45510</v>
      </c>
      <c r="C32" s="4" t="s">
        <v>36</v>
      </c>
      <c r="D32" s="4" t="s">
        <v>37</v>
      </c>
      <c r="E32" s="4" t="s">
        <v>24</v>
      </c>
      <c r="F32" s="4">
        <v>2</v>
      </c>
      <c r="G32" s="4">
        <v>0</v>
      </c>
      <c r="H32" s="4">
        <v>0</v>
      </c>
      <c r="I32" s="4">
        <v>0</v>
      </c>
      <c r="J32">
        <v>17</v>
      </c>
      <c r="K32">
        <v>22</v>
      </c>
      <c r="L32">
        <v>8</v>
      </c>
      <c r="M32">
        <f t="shared" si="0"/>
        <v>34</v>
      </c>
      <c r="N32">
        <f t="shared" si="1"/>
        <v>0</v>
      </c>
      <c r="O32">
        <f t="shared" si="2"/>
        <v>0</v>
      </c>
      <c r="P32">
        <f t="shared" si="3"/>
        <v>0</v>
      </c>
      <c r="Q32">
        <f t="shared" si="4"/>
        <v>34</v>
      </c>
      <c r="R32">
        <f t="shared" si="5"/>
        <v>0.34</v>
      </c>
      <c r="S32">
        <f t="shared" si="6"/>
        <v>33.66</v>
      </c>
      <c r="T32" t="s">
        <v>25</v>
      </c>
    </row>
    <row r="33" spans="1:20">
      <c r="A33" s="4">
        <v>989724</v>
      </c>
      <c r="B33" s="5">
        <v>45511</v>
      </c>
      <c r="C33" s="4" t="s">
        <v>36</v>
      </c>
      <c r="D33" s="4" t="s">
        <v>37</v>
      </c>
      <c r="E33" s="4" t="s">
        <v>24</v>
      </c>
      <c r="F33" s="4">
        <v>10</v>
      </c>
      <c r="G33" s="4">
        <v>7</v>
      </c>
      <c r="H33" s="4">
        <v>1</v>
      </c>
      <c r="I33" s="4">
        <v>0</v>
      </c>
      <c r="J33">
        <v>17</v>
      </c>
      <c r="K33">
        <v>22</v>
      </c>
      <c r="L33">
        <v>8</v>
      </c>
      <c r="M33">
        <f t="shared" si="0"/>
        <v>170</v>
      </c>
      <c r="N33">
        <f t="shared" si="1"/>
        <v>154</v>
      </c>
      <c r="O33">
        <f t="shared" si="2"/>
        <v>8</v>
      </c>
      <c r="P33">
        <f t="shared" si="3"/>
        <v>0</v>
      </c>
      <c r="Q33">
        <f t="shared" si="4"/>
        <v>332</v>
      </c>
      <c r="R33">
        <f t="shared" si="5"/>
        <v>3.32</v>
      </c>
      <c r="S33">
        <f t="shared" si="6"/>
        <v>328.68</v>
      </c>
      <c r="T33" t="s">
        <v>25</v>
      </c>
    </row>
    <row r="34" spans="1:20">
      <c r="A34" s="4">
        <v>989724</v>
      </c>
      <c r="B34" s="5">
        <v>45512</v>
      </c>
      <c r="C34" s="4" t="s">
        <v>36</v>
      </c>
      <c r="D34" s="4" t="s">
        <v>37</v>
      </c>
      <c r="E34" s="4" t="s">
        <v>24</v>
      </c>
      <c r="F34" s="4">
        <v>26</v>
      </c>
      <c r="G34" s="4">
        <v>0</v>
      </c>
      <c r="H34" s="4">
        <v>0</v>
      </c>
      <c r="I34" s="4">
        <v>0</v>
      </c>
      <c r="J34">
        <v>17</v>
      </c>
      <c r="K34">
        <v>22</v>
      </c>
      <c r="L34">
        <v>8</v>
      </c>
      <c r="M34">
        <f t="shared" si="0"/>
        <v>442</v>
      </c>
      <c r="N34">
        <f t="shared" si="1"/>
        <v>0</v>
      </c>
      <c r="O34">
        <f t="shared" si="2"/>
        <v>0</v>
      </c>
      <c r="P34">
        <f t="shared" si="3"/>
        <v>0</v>
      </c>
      <c r="Q34">
        <f t="shared" si="4"/>
        <v>442</v>
      </c>
      <c r="R34">
        <f t="shared" si="5"/>
        <v>4.42</v>
      </c>
      <c r="S34">
        <f t="shared" si="6"/>
        <v>437.58</v>
      </c>
      <c r="T34" t="s">
        <v>25</v>
      </c>
    </row>
    <row r="35" spans="1:20">
      <c r="A35" s="4">
        <v>989724</v>
      </c>
      <c r="B35" s="5">
        <v>45513</v>
      </c>
      <c r="C35" s="4" t="s">
        <v>36</v>
      </c>
      <c r="D35" s="4" t="s">
        <v>37</v>
      </c>
      <c r="E35" s="4" t="s">
        <v>24</v>
      </c>
      <c r="F35" s="4">
        <v>23</v>
      </c>
      <c r="G35" s="4">
        <v>0</v>
      </c>
      <c r="H35" s="4">
        <v>2</v>
      </c>
      <c r="I35" s="4">
        <v>0</v>
      </c>
      <c r="J35">
        <v>17</v>
      </c>
      <c r="K35">
        <v>22</v>
      </c>
      <c r="L35">
        <v>8</v>
      </c>
      <c r="M35">
        <f t="shared" si="0"/>
        <v>391</v>
      </c>
      <c r="N35">
        <f t="shared" si="1"/>
        <v>0</v>
      </c>
      <c r="O35">
        <f t="shared" si="2"/>
        <v>16</v>
      </c>
      <c r="P35">
        <f t="shared" si="3"/>
        <v>0</v>
      </c>
      <c r="Q35">
        <f t="shared" si="4"/>
        <v>407</v>
      </c>
      <c r="R35">
        <f t="shared" si="5"/>
        <v>4.07</v>
      </c>
      <c r="S35">
        <f t="shared" si="6"/>
        <v>402.93</v>
      </c>
      <c r="T35" t="s">
        <v>25</v>
      </c>
    </row>
    <row r="36" spans="1:20">
      <c r="A36" s="4">
        <v>989724</v>
      </c>
      <c r="B36" s="5">
        <v>45514</v>
      </c>
      <c r="C36" s="4" t="s">
        <v>36</v>
      </c>
      <c r="D36" s="4" t="s">
        <v>37</v>
      </c>
      <c r="E36" s="4" t="s">
        <v>24</v>
      </c>
      <c r="F36" s="4">
        <v>23</v>
      </c>
      <c r="G36" s="4">
        <v>10</v>
      </c>
      <c r="H36" s="4">
        <v>4</v>
      </c>
      <c r="I36" s="4">
        <v>0</v>
      </c>
      <c r="J36">
        <v>17</v>
      </c>
      <c r="K36">
        <v>22</v>
      </c>
      <c r="L36">
        <v>8</v>
      </c>
      <c r="M36">
        <f t="shared" si="0"/>
        <v>391</v>
      </c>
      <c r="N36">
        <f t="shared" si="1"/>
        <v>220</v>
      </c>
      <c r="O36">
        <f t="shared" si="2"/>
        <v>32</v>
      </c>
      <c r="P36">
        <f t="shared" si="3"/>
        <v>0</v>
      </c>
      <c r="Q36">
        <f t="shared" si="4"/>
        <v>643</v>
      </c>
      <c r="R36">
        <f t="shared" si="5"/>
        <v>6.43</v>
      </c>
      <c r="S36">
        <f t="shared" si="6"/>
        <v>636.57</v>
      </c>
      <c r="T36" t="s">
        <v>25</v>
      </c>
    </row>
    <row r="37" spans="1:20">
      <c r="A37" s="4">
        <v>1020330</v>
      </c>
      <c r="B37" s="5">
        <v>45509</v>
      </c>
      <c r="C37" s="4" t="s">
        <v>38</v>
      </c>
      <c r="D37" s="4" t="s">
        <v>39</v>
      </c>
      <c r="E37" s="4" t="s">
        <v>24</v>
      </c>
      <c r="F37" s="4">
        <v>47</v>
      </c>
      <c r="G37" s="4">
        <v>0</v>
      </c>
      <c r="H37" s="4">
        <v>10</v>
      </c>
      <c r="I37" s="4">
        <v>0</v>
      </c>
      <c r="J37">
        <v>18</v>
      </c>
      <c r="K37">
        <v>22</v>
      </c>
      <c r="L37">
        <v>8</v>
      </c>
      <c r="M37">
        <f t="shared" si="0"/>
        <v>846</v>
      </c>
      <c r="N37">
        <f t="shared" si="1"/>
        <v>0</v>
      </c>
      <c r="O37">
        <f t="shared" si="2"/>
        <v>80</v>
      </c>
      <c r="P37">
        <f t="shared" si="3"/>
        <v>0</v>
      </c>
      <c r="Q37">
        <f t="shared" si="4"/>
        <v>926</v>
      </c>
      <c r="R37">
        <f t="shared" si="5"/>
        <v>9.26</v>
      </c>
      <c r="S37">
        <f t="shared" si="6"/>
        <v>916.74</v>
      </c>
      <c r="T37" t="s">
        <v>25</v>
      </c>
    </row>
    <row r="38" spans="1:20">
      <c r="A38" s="4">
        <v>1020330</v>
      </c>
      <c r="B38" s="5">
        <v>45510</v>
      </c>
      <c r="C38" s="4" t="s">
        <v>38</v>
      </c>
      <c r="D38" s="4" t="s">
        <v>39</v>
      </c>
      <c r="E38" s="4" t="s">
        <v>24</v>
      </c>
      <c r="F38" s="4">
        <v>68</v>
      </c>
      <c r="G38" s="4">
        <v>0</v>
      </c>
      <c r="H38" s="4">
        <v>11</v>
      </c>
      <c r="I38" s="4">
        <v>0</v>
      </c>
      <c r="J38">
        <v>18</v>
      </c>
      <c r="K38">
        <v>22</v>
      </c>
      <c r="L38">
        <v>8</v>
      </c>
      <c r="M38">
        <f t="shared" si="0"/>
        <v>1224</v>
      </c>
      <c r="N38">
        <f t="shared" si="1"/>
        <v>0</v>
      </c>
      <c r="O38">
        <f t="shared" si="2"/>
        <v>88</v>
      </c>
      <c r="P38">
        <f t="shared" si="3"/>
        <v>0</v>
      </c>
      <c r="Q38">
        <f t="shared" si="4"/>
        <v>1312</v>
      </c>
      <c r="R38">
        <f t="shared" si="5"/>
        <v>13.12</v>
      </c>
      <c r="S38">
        <f t="shared" si="6"/>
        <v>1298.88</v>
      </c>
      <c r="T38" t="s">
        <v>25</v>
      </c>
    </row>
    <row r="39" spans="1:20">
      <c r="A39" s="4">
        <v>1020330</v>
      </c>
      <c r="B39" s="5">
        <v>45512</v>
      </c>
      <c r="C39" s="4" t="s">
        <v>38</v>
      </c>
      <c r="D39" s="4" t="s">
        <v>39</v>
      </c>
      <c r="E39" s="4" t="s">
        <v>24</v>
      </c>
      <c r="F39" s="4">
        <v>71</v>
      </c>
      <c r="G39" s="4">
        <v>23</v>
      </c>
      <c r="H39" s="4">
        <v>13</v>
      </c>
      <c r="I39" s="4">
        <v>0</v>
      </c>
      <c r="J39">
        <v>18</v>
      </c>
      <c r="K39">
        <v>22</v>
      </c>
      <c r="L39">
        <v>8</v>
      </c>
      <c r="M39">
        <f t="shared" si="0"/>
        <v>1278</v>
      </c>
      <c r="N39">
        <f t="shared" si="1"/>
        <v>506</v>
      </c>
      <c r="O39">
        <f t="shared" si="2"/>
        <v>104</v>
      </c>
      <c r="P39">
        <f t="shared" si="3"/>
        <v>0</v>
      </c>
      <c r="Q39">
        <f t="shared" si="4"/>
        <v>1888</v>
      </c>
      <c r="R39">
        <f t="shared" si="5"/>
        <v>18.88</v>
      </c>
      <c r="S39">
        <f t="shared" si="6"/>
        <v>1869.12</v>
      </c>
      <c r="T39" t="s">
        <v>25</v>
      </c>
    </row>
    <row r="40" spans="1:20">
      <c r="A40" s="4">
        <v>1020330</v>
      </c>
      <c r="B40" s="5">
        <v>45513</v>
      </c>
      <c r="C40" s="4" t="s">
        <v>38</v>
      </c>
      <c r="D40" s="4" t="s">
        <v>39</v>
      </c>
      <c r="E40" s="4" t="s">
        <v>24</v>
      </c>
      <c r="F40" s="4">
        <v>58</v>
      </c>
      <c r="G40" s="4">
        <v>29</v>
      </c>
      <c r="H40" s="4">
        <v>12</v>
      </c>
      <c r="I40" s="4">
        <v>0</v>
      </c>
      <c r="J40">
        <v>18</v>
      </c>
      <c r="K40">
        <v>22</v>
      </c>
      <c r="L40">
        <v>8</v>
      </c>
      <c r="M40">
        <f t="shared" si="0"/>
        <v>1044</v>
      </c>
      <c r="N40">
        <f t="shared" si="1"/>
        <v>638</v>
      </c>
      <c r="O40">
        <f t="shared" si="2"/>
        <v>96</v>
      </c>
      <c r="P40">
        <f t="shared" si="3"/>
        <v>0</v>
      </c>
      <c r="Q40">
        <f t="shared" si="4"/>
        <v>1778</v>
      </c>
      <c r="R40">
        <f t="shared" si="5"/>
        <v>17.78</v>
      </c>
      <c r="S40">
        <f t="shared" si="6"/>
        <v>1760.22</v>
      </c>
      <c r="T40" t="s">
        <v>25</v>
      </c>
    </row>
    <row r="41" spans="1:20">
      <c r="A41" s="4">
        <v>1020330</v>
      </c>
      <c r="B41" s="5">
        <v>45514</v>
      </c>
      <c r="C41" s="4" t="s">
        <v>38</v>
      </c>
      <c r="D41" s="4" t="s">
        <v>39</v>
      </c>
      <c r="E41" s="4" t="s">
        <v>24</v>
      </c>
      <c r="F41" s="4">
        <v>66</v>
      </c>
      <c r="G41" s="4">
        <v>28</v>
      </c>
      <c r="H41" s="4">
        <v>6</v>
      </c>
      <c r="I41" s="4">
        <v>0</v>
      </c>
      <c r="J41">
        <v>18</v>
      </c>
      <c r="K41">
        <v>22</v>
      </c>
      <c r="L41">
        <v>8</v>
      </c>
      <c r="M41">
        <f t="shared" si="0"/>
        <v>1188</v>
      </c>
      <c r="N41">
        <f t="shared" si="1"/>
        <v>616</v>
      </c>
      <c r="O41">
        <f t="shared" si="2"/>
        <v>48</v>
      </c>
      <c r="P41">
        <f t="shared" si="3"/>
        <v>0</v>
      </c>
      <c r="Q41">
        <f t="shared" si="4"/>
        <v>1852</v>
      </c>
      <c r="R41">
        <f t="shared" si="5"/>
        <v>18.52</v>
      </c>
      <c r="S41">
        <f t="shared" si="6"/>
        <v>1833.48</v>
      </c>
      <c r="T41" t="s">
        <v>25</v>
      </c>
    </row>
    <row r="42" spans="1:20">
      <c r="A42" s="4">
        <v>1020330</v>
      </c>
      <c r="B42" s="5">
        <v>45515</v>
      </c>
      <c r="C42" s="4" t="s">
        <v>38</v>
      </c>
      <c r="D42" s="4" t="s">
        <v>39</v>
      </c>
      <c r="E42" s="4" t="s">
        <v>24</v>
      </c>
      <c r="F42" s="4">
        <v>63</v>
      </c>
      <c r="G42" s="4">
        <v>16</v>
      </c>
      <c r="H42" s="4">
        <v>8</v>
      </c>
      <c r="I42" s="4">
        <v>0</v>
      </c>
      <c r="J42">
        <v>18</v>
      </c>
      <c r="K42">
        <v>22</v>
      </c>
      <c r="L42">
        <v>8</v>
      </c>
      <c r="M42">
        <f t="shared" si="0"/>
        <v>1134</v>
      </c>
      <c r="N42">
        <f t="shared" si="1"/>
        <v>352</v>
      </c>
      <c r="O42">
        <f t="shared" si="2"/>
        <v>64</v>
      </c>
      <c r="P42">
        <f t="shared" si="3"/>
        <v>0</v>
      </c>
      <c r="Q42">
        <f t="shared" si="4"/>
        <v>1550</v>
      </c>
      <c r="R42">
        <f t="shared" si="5"/>
        <v>15.5</v>
      </c>
      <c r="S42">
        <f t="shared" si="6"/>
        <v>1534.5</v>
      </c>
      <c r="T42" t="s">
        <v>25</v>
      </c>
    </row>
    <row r="43" spans="1:20">
      <c r="A43" s="4">
        <v>1066721</v>
      </c>
      <c r="B43" s="5">
        <v>45509</v>
      </c>
      <c r="C43" s="4" t="s">
        <v>40</v>
      </c>
      <c r="D43" s="4" t="s">
        <v>41</v>
      </c>
      <c r="E43" s="4" t="s">
        <v>42</v>
      </c>
      <c r="F43" s="4">
        <v>79</v>
      </c>
      <c r="G43" s="4">
        <v>0</v>
      </c>
      <c r="H43" s="4">
        <v>26</v>
      </c>
      <c r="I43" s="4">
        <v>0</v>
      </c>
      <c r="J43">
        <v>17</v>
      </c>
      <c r="K43">
        <v>22</v>
      </c>
      <c r="L43">
        <v>8</v>
      </c>
      <c r="M43">
        <f t="shared" si="0"/>
        <v>1343</v>
      </c>
      <c r="N43">
        <f t="shared" si="1"/>
        <v>0</v>
      </c>
      <c r="O43">
        <f t="shared" si="2"/>
        <v>208</v>
      </c>
      <c r="P43">
        <f t="shared" si="3"/>
        <v>0</v>
      </c>
      <c r="Q43">
        <f t="shared" si="4"/>
        <v>1551</v>
      </c>
      <c r="R43">
        <f t="shared" si="5"/>
        <v>15.51</v>
      </c>
      <c r="S43">
        <f t="shared" si="6"/>
        <v>1535.49</v>
      </c>
      <c r="T43" t="s">
        <v>25</v>
      </c>
    </row>
    <row r="44" spans="1:20">
      <c r="A44" s="4">
        <v>1066721</v>
      </c>
      <c r="B44" s="5">
        <v>45510</v>
      </c>
      <c r="C44" s="4" t="s">
        <v>40</v>
      </c>
      <c r="D44" s="4" t="s">
        <v>41</v>
      </c>
      <c r="E44" s="4" t="s">
        <v>42</v>
      </c>
      <c r="F44" s="4">
        <v>64</v>
      </c>
      <c r="G44" s="4">
        <v>0</v>
      </c>
      <c r="H44" s="4">
        <v>10</v>
      </c>
      <c r="I44" s="4">
        <v>0</v>
      </c>
      <c r="J44">
        <v>17</v>
      </c>
      <c r="K44">
        <v>22</v>
      </c>
      <c r="L44">
        <v>8</v>
      </c>
      <c r="M44">
        <f t="shared" si="0"/>
        <v>1088</v>
      </c>
      <c r="N44">
        <f t="shared" si="1"/>
        <v>0</v>
      </c>
      <c r="O44">
        <f t="shared" si="2"/>
        <v>80</v>
      </c>
      <c r="P44">
        <f t="shared" si="3"/>
        <v>0</v>
      </c>
      <c r="Q44">
        <f t="shared" si="4"/>
        <v>1168</v>
      </c>
      <c r="R44">
        <f t="shared" si="5"/>
        <v>11.68</v>
      </c>
      <c r="S44">
        <f t="shared" si="6"/>
        <v>1156.32</v>
      </c>
      <c r="T44" t="s">
        <v>25</v>
      </c>
    </row>
    <row r="45" spans="1:20">
      <c r="A45" s="4">
        <v>1066721</v>
      </c>
      <c r="B45" s="5">
        <v>45511</v>
      </c>
      <c r="C45" s="4" t="s">
        <v>40</v>
      </c>
      <c r="D45" s="4" t="s">
        <v>41</v>
      </c>
      <c r="E45" s="4" t="s">
        <v>42</v>
      </c>
      <c r="F45" s="4">
        <v>0</v>
      </c>
      <c r="G45" s="4">
        <v>0</v>
      </c>
      <c r="H45" s="4">
        <v>0</v>
      </c>
      <c r="I45" s="4">
        <v>0</v>
      </c>
      <c r="J45">
        <v>17</v>
      </c>
      <c r="K45">
        <v>22</v>
      </c>
      <c r="L45">
        <v>8</v>
      </c>
      <c r="M45">
        <f t="shared" si="0"/>
        <v>0</v>
      </c>
      <c r="N45">
        <f t="shared" si="1"/>
        <v>0</v>
      </c>
      <c r="O45">
        <f t="shared" si="2"/>
        <v>0</v>
      </c>
      <c r="P45">
        <f t="shared" si="3"/>
        <v>0</v>
      </c>
      <c r="Q45">
        <f t="shared" si="4"/>
        <v>0</v>
      </c>
      <c r="R45">
        <f t="shared" si="5"/>
        <v>0</v>
      </c>
      <c r="S45">
        <f t="shared" si="6"/>
        <v>0</v>
      </c>
      <c r="T45" t="s">
        <v>25</v>
      </c>
    </row>
    <row r="46" spans="1:20">
      <c r="A46" s="4">
        <v>1066721</v>
      </c>
      <c r="B46" s="5">
        <v>45512</v>
      </c>
      <c r="C46" s="4" t="s">
        <v>40</v>
      </c>
      <c r="D46" s="4" t="s">
        <v>41</v>
      </c>
      <c r="E46" s="4" t="s">
        <v>42</v>
      </c>
      <c r="F46" s="4">
        <v>50</v>
      </c>
      <c r="G46" s="4">
        <v>0</v>
      </c>
      <c r="H46" s="4">
        <v>10</v>
      </c>
      <c r="I46" s="4">
        <v>0</v>
      </c>
      <c r="J46">
        <v>17</v>
      </c>
      <c r="K46">
        <v>22</v>
      </c>
      <c r="L46">
        <v>8</v>
      </c>
      <c r="M46">
        <f t="shared" si="0"/>
        <v>850</v>
      </c>
      <c r="N46">
        <f t="shared" si="1"/>
        <v>0</v>
      </c>
      <c r="O46">
        <f t="shared" si="2"/>
        <v>80</v>
      </c>
      <c r="P46">
        <f t="shared" si="3"/>
        <v>0</v>
      </c>
      <c r="Q46">
        <f t="shared" si="4"/>
        <v>930</v>
      </c>
      <c r="R46">
        <f t="shared" si="5"/>
        <v>9.3</v>
      </c>
      <c r="S46">
        <f t="shared" si="6"/>
        <v>920.7</v>
      </c>
      <c r="T46" t="s">
        <v>25</v>
      </c>
    </row>
    <row r="47" spans="1:20">
      <c r="A47" s="4">
        <v>1066721</v>
      </c>
      <c r="B47" s="5">
        <v>45513</v>
      </c>
      <c r="C47" s="4" t="s">
        <v>40</v>
      </c>
      <c r="D47" s="4" t="s">
        <v>41</v>
      </c>
      <c r="E47" s="4" t="s">
        <v>42</v>
      </c>
      <c r="F47" s="4">
        <v>56</v>
      </c>
      <c r="G47" s="4">
        <v>0</v>
      </c>
      <c r="H47" s="4">
        <v>5</v>
      </c>
      <c r="I47" s="4">
        <v>0</v>
      </c>
      <c r="J47">
        <v>17</v>
      </c>
      <c r="K47">
        <v>22</v>
      </c>
      <c r="L47">
        <v>8</v>
      </c>
      <c r="M47">
        <f t="shared" si="0"/>
        <v>952</v>
      </c>
      <c r="N47">
        <f t="shared" si="1"/>
        <v>0</v>
      </c>
      <c r="O47">
        <f t="shared" si="2"/>
        <v>40</v>
      </c>
      <c r="P47">
        <f t="shared" si="3"/>
        <v>0</v>
      </c>
      <c r="Q47">
        <f t="shared" si="4"/>
        <v>992</v>
      </c>
      <c r="R47">
        <f t="shared" si="5"/>
        <v>9.92</v>
      </c>
      <c r="S47">
        <f t="shared" si="6"/>
        <v>982.08</v>
      </c>
      <c r="T47" t="s">
        <v>25</v>
      </c>
    </row>
    <row r="48" spans="1:20">
      <c r="A48" s="4">
        <v>1066721</v>
      </c>
      <c r="B48" s="5">
        <v>45514</v>
      </c>
      <c r="C48" s="4" t="s">
        <v>40</v>
      </c>
      <c r="D48" s="4" t="s">
        <v>41</v>
      </c>
      <c r="E48" s="4" t="s">
        <v>42</v>
      </c>
      <c r="F48" s="4">
        <v>51</v>
      </c>
      <c r="G48" s="4">
        <v>0</v>
      </c>
      <c r="H48" s="4">
        <v>2</v>
      </c>
      <c r="I48" s="4">
        <v>0</v>
      </c>
      <c r="J48">
        <v>17</v>
      </c>
      <c r="K48">
        <v>22</v>
      </c>
      <c r="L48">
        <v>8</v>
      </c>
      <c r="M48">
        <f t="shared" si="0"/>
        <v>867</v>
      </c>
      <c r="N48">
        <f t="shared" si="1"/>
        <v>0</v>
      </c>
      <c r="O48">
        <f t="shared" si="2"/>
        <v>16</v>
      </c>
      <c r="P48">
        <f t="shared" si="3"/>
        <v>0</v>
      </c>
      <c r="Q48">
        <f t="shared" si="4"/>
        <v>883</v>
      </c>
      <c r="R48">
        <f t="shared" si="5"/>
        <v>8.83</v>
      </c>
      <c r="S48">
        <f t="shared" si="6"/>
        <v>874.17</v>
      </c>
      <c r="T48" t="s">
        <v>25</v>
      </c>
    </row>
    <row r="49" spans="1:20">
      <c r="A49" s="4">
        <v>1340684</v>
      </c>
      <c r="B49" s="5">
        <v>45509</v>
      </c>
      <c r="C49" s="4" t="s">
        <v>43</v>
      </c>
      <c r="D49" s="4" t="s">
        <v>44</v>
      </c>
      <c r="E49" s="4" t="s">
        <v>24</v>
      </c>
      <c r="F49" s="4">
        <v>79</v>
      </c>
      <c r="G49" s="4">
        <v>0</v>
      </c>
      <c r="H49" s="4">
        <v>13</v>
      </c>
      <c r="I49" s="4">
        <v>0</v>
      </c>
      <c r="J49">
        <v>17</v>
      </c>
      <c r="K49">
        <v>22</v>
      </c>
      <c r="L49">
        <v>8</v>
      </c>
      <c r="M49">
        <f t="shared" si="0"/>
        <v>1343</v>
      </c>
      <c r="N49">
        <f t="shared" si="1"/>
        <v>0</v>
      </c>
      <c r="O49">
        <f t="shared" si="2"/>
        <v>104</v>
      </c>
      <c r="P49">
        <f t="shared" si="3"/>
        <v>0</v>
      </c>
      <c r="Q49">
        <f t="shared" si="4"/>
        <v>1447</v>
      </c>
      <c r="R49">
        <f t="shared" si="5"/>
        <v>14.47</v>
      </c>
      <c r="S49">
        <f t="shared" si="6"/>
        <v>1432.53</v>
      </c>
      <c r="T49" t="s">
        <v>25</v>
      </c>
    </row>
    <row r="50" spans="1:20">
      <c r="A50" s="4">
        <v>1340684</v>
      </c>
      <c r="B50" s="5">
        <v>45510</v>
      </c>
      <c r="C50" s="4" t="s">
        <v>43</v>
      </c>
      <c r="D50" s="4" t="s">
        <v>44</v>
      </c>
      <c r="E50" s="4" t="s">
        <v>24</v>
      </c>
      <c r="F50" s="4">
        <v>0</v>
      </c>
      <c r="G50" s="4">
        <v>0</v>
      </c>
      <c r="H50" s="4">
        <v>0</v>
      </c>
      <c r="I50" s="4">
        <v>0</v>
      </c>
      <c r="J50">
        <v>17</v>
      </c>
      <c r="K50">
        <v>22</v>
      </c>
      <c r="L50">
        <v>8</v>
      </c>
      <c r="M50">
        <f t="shared" si="0"/>
        <v>0</v>
      </c>
      <c r="N50">
        <f t="shared" si="1"/>
        <v>0</v>
      </c>
      <c r="O50">
        <f t="shared" si="2"/>
        <v>0</v>
      </c>
      <c r="P50">
        <f t="shared" si="3"/>
        <v>0</v>
      </c>
      <c r="Q50">
        <f t="shared" si="4"/>
        <v>0</v>
      </c>
      <c r="R50">
        <f t="shared" si="5"/>
        <v>0</v>
      </c>
      <c r="S50">
        <f t="shared" si="6"/>
        <v>0</v>
      </c>
      <c r="T50" t="s">
        <v>25</v>
      </c>
    </row>
    <row r="51" spans="1:20">
      <c r="A51" s="4">
        <v>1340684</v>
      </c>
      <c r="B51" s="5">
        <v>45511</v>
      </c>
      <c r="C51" s="4" t="s">
        <v>43</v>
      </c>
      <c r="D51" s="4" t="s">
        <v>44</v>
      </c>
      <c r="E51" s="4" t="s">
        <v>24</v>
      </c>
      <c r="F51" s="4">
        <v>68</v>
      </c>
      <c r="G51" s="4">
        <v>0</v>
      </c>
      <c r="H51" s="4">
        <v>11</v>
      </c>
      <c r="I51" s="4">
        <v>0</v>
      </c>
      <c r="J51">
        <v>17</v>
      </c>
      <c r="K51">
        <v>22</v>
      </c>
      <c r="L51">
        <v>8</v>
      </c>
      <c r="M51">
        <f t="shared" si="0"/>
        <v>1156</v>
      </c>
      <c r="N51">
        <f t="shared" si="1"/>
        <v>0</v>
      </c>
      <c r="O51">
        <f t="shared" si="2"/>
        <v>88</v>
      </c>
      <c r="P51">
        <f t="shared" si="3"/>
        <v>0</v>
      </c>
      <c r="Q51">
        <f t="shared" si="4"/>
        <v>1244</v>
      </c>
      <c r="R51">
        <f t="shared" si="5"/>
        <v>12.44</v>
      </c>
      <c r="S51">
        <f t="shared" si="6"/>
        <v>1231.56</v>
      </c>
      <c r="T51" t="s">
        <v>25</v>
      </c>
    </row>
    <row r="52" spans="1:20">
      <c r="A52" s="4">
        <v>1340684</v>
      </c>
      <c r="B52" s="5">
        <v>45512</v>
      </c>
      <c r="C52" s="4" t="s">
        <v>43</v>
      </c>
      <c r="D52" s="4" t="s">
        <v>44</v>
      </c>
      <c r="E52" s="4" t="s">
        <v>24</v>
      </c>
      <c r="F52" s="4">
        <v>47</v>
      </c>
      <c r="G52" s="4">
        <v>0</v>
      </c>
      <c r="H52" s="4">
        <v>6</v>
      </c>
      <c r="I52" s="4">
        <v>0</v>
      </c>
      <c r="J52">
        <v>17</v>
      </c>
      <c r="K52">
        <v>22</v>
      </c>
      <c r="L52">
        <v>8</v>
      </c>
      <c r="M52">
        <f t="shared" si="0"/>
        <v>799</v>
      </c>
      <c r="N52">
        <f t="shared" si="1"/>
        <v>0</v>
      </c>
      <c r="O52">
        <f t="shared" si="2"/>
        <v>48</v>
      </c>
      <c r="P52">
        <f t="shared" si="3"/>
        <v>0</v>
      </c>
      <c r="Q52">
        <f t="shared" si="4"/>
        <v>847</v>
      </c>
      <c r="R52">
        <f t="shared" si="5"/>
        <v>8.47</v>
      </c>
      <c r="S52">
        <f t="shared" si="6"/>
        <v>838.53</v>
      </c>
      <c r="T52" t="s">
        <v>25</v>
      </c>
    </row>
    <row r="53" spans="1:20">
      <c r="A53" s="4">
        <v>1340684</v>
      </c>
      <c r="B53" s="5">
        <v>45513</v>
      </c>
      <c r="C53" s="4" t="s">
        <v>43</v>
      </c>
      <c r="D53" s="4" t="s">
        <v>44</v>
      </c>
      <c r="E53" s="4" t="s">
        <v>24</v>
      </c>
      <c r="F53" s="4">
        <v>59</v>
      </c>
      <c r="G53" s="4">
        <v>0</v>
      </c>
      <c r="H53" s="4">
        <v>7</v>
      </c>
      <c r="I53" s="4">
        <v>0</v>
      </c>
      <c r="J53">
        <v>17</v>
      </c>
      <c r="K53">
        <v>22</v>
      </c>
      <c r="L53">
        <v>8</v>
      </c>
      <c r="M53">
        <f t="shared" si="0"/>
        <v>1003</v>
      </c>
      <c r="N53">
        <f t="shared" si="1"/>
        <v>0</v>
      </c>
      <c r="O53">
        <f t="shared" si="2"/>
        <v>56</v>
      </c>
      <c r="P53">
        <f t="shared" si="3"/>
        <v>0</v>
      </c>
      <c r="Q53">
        <f t="shared" si="4"/>
        <v>1059</v>
      </c>
      <c r="R53">
        <f t="shared" si="5"/>
        <v>10.59</v>
      </c>
      <c r="S53">
        <f t="shared" si="6"/>
        <v>1048.41</v>
      </c>
      <c r="T53" t="s">
        <v>25</v>
      </c>
    </row>
    <row r="54" spans="1:20">
      <c r="A54" s="4">
        <v>1340684</v>
      </c>
      <c r="B54" s="5">
        <v>45514</v>
      </c>
      <c r="C54" s="4" t="s">
        <v>43</v>
      </c>
      <c r="D54" s="4" t="s">
        <v>44</v>
      </c>
      <c r="E54" s="4" t="s">
        <v>24</v>
      </c>
      <c r="F54" s="4">
        <v>30</v>
      </c>
      <c r="G54" s="4">
        <v>0</v>
      </c>
      <c r="H54" s="4">
        <v>1</v>
      </c>
      <c r="I54" s="4">
        <v>0</v>
      </c>
      <c r="J54">
        <v>17</v>
      </c>
      <c r="K54">
        <v>22</v>
      </c>
      <c r="L54">
        <v>8</v>
      </c>
      <c r="M54">
        <f t="shared" si="0"/>
        <v>510</v>
      </c>
      <c r="N54">
        <f t="shared" si="1"/>
        <v>0</v>
      </c>
      <c r="O54">
        <f t="shared" si="2"/>
        <v>8</v>
      </c>
      <c r="P54">
        <f t="shared" si="3"/>
        <v>0</v>
      </c>
      <c r="Q54">
        <f t="shared" si="4"/>
        <v>518</v>
      </c>
      <c r="R54">
        <f t="shared" si="5"/>
        <v>5.18</v>
      </c>
      <c r="S54">
        <f t="shared" si="6"/>
        <v>512.82</v>
      </c>
      <c r="T54" t="s">
        <v>25</v>
      </c>
    </row>
    <row r="55" spans="1:20">
      <c r="A55" s="4">
        <v>1340684</v>
      </c>
      <c r="B55" s="5">
        <v>45515</v>
      </c>
      <c r="C55" s="4" t="s">
        <v>43</v>
      </c>
      <c r="D55" s="4" t="s">
        <v>44</v>
      </c>
      <c r="E55" s="4" t="s">
        <v>24</v>
      </c>
      <c r="F55" s="4">
        <v>50</v>
      </c>
      <c r="G55" s="4">
        <v>0</v>
      </c>
      <c r="H55" s="4">
        <v>2</v>
      </c>
      <c r="I55" s="4">
        <v>0</v>
      </c>
      <c r="J55">
        <v>17</v>
      </c>
      <c r="K55">
        <v>22</v>
      </c>
      <c r="L55">
        <v>8</v>
      </c>
      <c r="M55">
        <f t="shared" si="0"/>
        <v>850</v>
      </c>
      <c r="N55">
        <f t="shared" si="1"/>
        <v>0</v>
      </c>
      <c r="O55">
        <f t="shared" si="2"/>
        <v>16</v>
      </c>
      <c r="P55">
        <f t="shared" si="3"/>
        <v>0</v>
      </c>
      <c r="Q55">
        <f t="shared" si="4"/>
        <v>866</v>
      </c>
      <c r="R55">
        <f t="shared" si="5"/>
        <v>8.66</v>
      </c>
      <c r="S55">
        <f t="shared" si="6"/>
        <v>857.34</v>
      </c>
      <c r="T55" t="s">
        <v>25</v>
      </c>
    </row>
    <row r="56" spans="1:20">
      <c r="A56" s="4">
        <v>1367231</v>
      </c>
      <c r="B56" s="5">
        <v>45509</v>
      </c>
      <c r="C56" s="4" t="s">
        <v>45</v>
      </c>
      <c r="D56" s="4" t="s">
        <v>39</v>
      </c>
      <c r="E56" s="4" t="s">
        <v>24</v>
      </c>
      <c r="F56" s="4">
        <v>12</v>
      </c>
      <c r="G56" s="4">
        <v>0</v>
      </c>
      <c r="H56" s="4">
        <v>1</v>
      </c>
      <c r="I56" s="4">
        <v>0</v>
      </c>
      <c r="J56">
        <v>17</v>
      </c>
      <c r="K56">
        <v>22</v>
      </c>
      <c r="L56">
        <v>8</v>
      </c>
      <c r="M56">
        <f t="shared" si="0"/>
        <v>204</v>
      </c>
      <c r="N56">
        <f t="shared" si="1"/>
        <v>0</v>
      </c>
      <c r="O56">
        <f t="shared" si="2"/>
        <v>8</v>
      </c>
      <c r="P56">
        <f t="shared" si="3"/>
        <v>0</v>
      </c>
      <c r="Q56">
        <f t="shared" si="4"/>
        <v>212</v>
      </c>
      <c r="R56">
        <f t="shared" si="5"/>
        <v>2.12</v>
      </c>
      <c r="S56">
        <f t="shared" si="6"/>
        <v>209.88</v>
      </c>
      <c r="T56" t="s">
        <v>25</v>
      </c>
    </row>
    <row r="57" spans="1:20">
      <c r="A57" s="4">
        <v>1438635</v>
      </c>
      <c r="B57" s="5">
        <v>45509</v>
      </c>
      <c r="C57" s="4" t="s">
        <v>46</v>
      </c>
      <c r="D57" s="4" t="s">
        <v>47</v>
      </c>
      <c r="E57" s="4" t="s">
        <v>24</v>
      </c>
      <c r="F57" s="4">
        <v>50</v>
      </c>
      <c r="G57" s="4">
        <v>0</v>
      </c>
      <c r="H57" s="4">
        <v>7</v>
      </c>
      <c r="I57" s="4">
        <v>0</v>
      </c>
      <c r="J57">
        <v>17</v>
      </c>
      <c r="K57">
        <v>22</v>
      </c>
      <c r="L57">
        <v>8</v>
      </c>
      <c r="M57">
        <f t="shared" si="0"/>
        <v>850</v>
      </c>
      <c r="N57">
        <f t="shared" si="1"/>
        <v>0</v>
      </c>
      <c r="O57">
        <f t="shared" si="2"/>
        <v>56</v>
      </c>
      <c r="P57">
        <f t="shared" si="3"/>
        <v>0</v>
      </c>
      <c r="Q57">
        <f t="shared" si="4"/>
        <v>906</v>
      </c>
      <c r="R57">
        <f t="shared" si="5"/>
        <v>9.06</v>
      </c>
      <c r="S57">
        <f t="shared" si="6"/>
        <v>896.94</v>
      </c>
      <c r="T57" t="s">
        <v>25</v>
      </c>
    </row>
    <row r="58" spans="1:20">
      <c r="A58" s="4">
        <v>1438635</v>
      </c>
      <c r="B58" s="5">
        <v>45510</v>
      </c>
      <c r="C58" s="4" t="s">
        <v>46</v>
      </c>
      <c r="D58" s="4" t="s">
        <v>47</v>
      </c>
      <c r="E58" s="4" t="s">
        <v>24</v>
      </c>
      <c r="F58" s="4">
        <v>46</v>
      </c>
      <c r="G58" s="4">
        <v>0</v>
      </c>
      <c r="H58" s="4">
        <v>10</v>
      </c>
      <c r="I58" s="4">
        <v>0</v>
      </c>
      <c r="J58">
        <v>17</v>
      </c>
      <c r="K58">
        <v>22</v>
      </c>
      <c r="L58">
        <v>8</v>
      </c>
      <c r="M58">
        <f t="shared" si="0"/>
        <v>782</v>
      </c>
      <c r="N58">
        <f t="shared" si="1"/>
        <v>0</v>
      </c>
      <c r="O58">
        <f t="shared" si="2"/>
        <v>80</v>
      </c>
      <c r="P58">
        <f t="shared" si="3"/>
        <v>0</v>
      </c>
      <c r="Q58">
        <f t="shared" si="4"/>
        <v>862</v>
      </c>
      <c r="R58">
        <f t="shared" si="5"/>
        <v>8.62</v>
      </c>
      <c r="S58">
        <f t="shared" si="6"/>
        <v>853.38</v>
      </c>
      <c r="T58" t="s">
        <v>25</v>
      </c>
    </row>
    <row r="59" spans="1:20">
      <c r="A59" s="4">
        <v>1438635</v>
      </c>
      <c r="B59" s="5">
        <v>45511</v>
      </c>
      <c r="C59" s="4" t="s">
        <v>46</v>
      </c>
      <c r="D59" s="4" t="s">
        <v>47</v>
      </c>
      <c r="E59" s="4" t="s">
        <v>24</v>
      </c>
      <c r="F59" s="4">
        <v>34</v>
      </c>
      <c r="G59" s="4">
        <v>0</v>
      </c>
      <c r="H59" s="4">
        <v>11</v>
      </c>
      <c r="I59" s="4">
        <v>0</v>
      </c>
      <c r="J59">
        <v>17</v>
      </c>
      <c r="K59">
        <v>22</v>
      </c>
      <c r="L59">
        <v>8</v>
      </c>
      <c r="M59">
        <f t="shared" si="0"/>
        <v>578</v>
      </c>
      <c r="N59">
        <f t="shared" si="1"/>
        <v>0</v>
      </c>
      <c r="O59">
        <f t="shared" si="2"/>
        <v>88</v>
      </c>
      <c r="P59">
        <f t="shared" si="3"/>
        <v>0</v>
      </c>
      <c r="Q59">
        <f t="shared" si="4"/>
        <v>666</v>
      </c>
      <c r="R59">
        <f t="shared" si="5"/>
        <v>6.66</v>
      </c>
      <c r="S59">
        <f t="shared" si="6"/>
        <v>659.34</v>
      </c>
      <c r="T59" t="s">
        <v>25</v>
      </c>
    </row>
    <row r="60" spans="1:20">
      <c r="A60" s="4">
        <v>1438635</v>
      </c>
      <c r="B60" s="5">
        <v>45512</v>
      </c>
      <c r="C60" s="4" t="s">
        <v>46</v>
      </c>
      <c r="D60" s="4" t="s">
        <v>47</v>
      </c>
      <c r="E60" s="4" t="s">
        <v>24</v>
      </c>
      <c r="F60" s="4">
        <v>30</v>
      </c>
      <c r="G60" s="4">
        <v>0</v>
      </c>
      <c r="H60" s="4">
        <v>3</v>
      </c>
      <c r="I60" s="4">
        <v>0</v>
      </c>
      <c r="J60">
        <v>17</v>
      </c>
      <c r="K60">
        <v>22</v>
      </c>
      <c r="L60">
        <v>8</v>
      </c>
      <c r="M60">
        <f t="shared" si="0"/>
        <v>510</v>
      </c>
      <c r="N60">
        <f t="shared" si="1"/>
        <v>0</v>
      </c>
      <c r="O60">
        <f t="shared" si="2"/>
        <v>24</v>
      </c>
      <c r="P60">
        <f t="shared" si="3"/>
        <v>0</v>
      </c>
      <c r="Q60">
        <f t="shared" si="4"/>
        <v>534</v>
      </c>
      <c r="R60">
        <f t="shared" si="5"/>
        <v>5.34</v>
      </c>
      <c r="S60">
        <f t="shared" si="6"/>
        <v>528.66</v>
      </c>
      <c r="T60" t="s">
        <v>25</v>
      </c>
    </row>
    <row r="61" spans="1:20">
      <c r="A61" s="4">
        <v>1438635</v>
      </c>
      <c r="B61" s="5">
        <v>45513</v>
      </c>
      <c r="C61" s="4" t="s">
        <v>46</v>
      </c>
      <c r="D61" s="4" t="s">
        <v>47</v>
      </c>
      <c r="E61" s="4" t="s">
        <v>24</v>
      </c>
      <c r="F61" s="4">
        <v>33</v>
      </c>
      <c r="G61" s="4">
        <v>0</v>
      </c>
      <c r="H61" s="4">
        <v>9</v>
      </c>
      <c r="I61" s="4">
        <v>0</v>
      </c>
      <c r="J61">
        <v>17</v>
      </c>
      <c r="K61">
        <v>22</v>
      </c>
      <c r="L61">
        <v>8</v>
      </c>
      <c r="M61">
        <f t="shared" si="0"/>
        <v>561</v>
      </c>
      <c r="N61">
        <f t="shared" si="1"/>
        <v>0</v>
      </c>
      <c r="O61">
        <f t="shared" si="2"/>
        <v>72</v>
      </c>
      <c r="P61">
        <f t="shared" si="3"/>
        <v>0</v>
      </c>
      <c r="Q61">
        <f t="shared" si="4"/>
        <v>633</v>
      </c>
      <c r="R61">
        <f t="shared" si="5"/>
        <v>6.33</v>
      </c>
      <c r="S61">
        <f t="shared" si="6"/>
        <v>626.67</v>
      </c>
      <c r="T61" t="s">
        <v>25</v>
      </c>
    </row>
    <row r="62" spans="1:20">
      <c r="A62" s="4">
        <v>1438635</v>
      </c>
      <c r="B62" s="5">
        <v>45514</v>
      </c>
      <c r="C62" s="4" t="s">
        <v>46</v>
      </c>
      <c r="D62" s="4" t="s">
        <v>47</v>
      </c>
      <c r="E62" s="4" t="s">
        <v>24</v>
      </c>
      <c r="F62" s="4">
        <v>35</v>
      </c>
      <c r="G62" s="4">
        <v>0</v>
      </c>
      <c r="H62" s="4">
        <v>6</v>
      </c>
      <c r="I62" s="4">
        <v>0</v>
      </c>
      <c r="J62">
        <v>17</v>
      </c>
      <c r="K62">
        <v>22</v>
      </c>
      <c r="L62">
        <v>8</v>
      </c>
      <c r="M62">
        <f t="shared" si="0"/>
        <v>595</v>
      </c>
      <c r="N62">
        <f t="shared" si="1"/>
        <v>0</v>
      </c>
      <c r="O62">
        <f t="shared" si="2"/>
        <v>48</v>
      </c>
      <c r="P62">
        <f t="shared" si="3"/>
        <v>0</v>
      </c>
      <c r="Q62">
        <f t="shared" si="4"/>
        <v>643</v>
      </c>
      <c r="R62">
        <f t="shared" si="5"/>
        <v>6.43</v>
      </c>
      <c r="S62">
        <f t="shared" si="6"/>
        <v>636.57</v>
      </c>
      <c r="T62" t="s">
        <v>25</v>
      </c>
    </row>
    <row r="63" spans="1:20">
      <c r="A63" s="4">
        <v>1438635</v>
      </c>
      <c r="B63" s="5">
        <v>45515</v>
      </c>
      <c r="C63" s="4" t="s">
        <v>46</v>
      </c>
      <c r="D63" s="4" t="s">
        <v>47</v>
      </c>
      <c r="E63" s="4" t="s">
        <v>24</v>
      </c>
      <c r="F63" s="4">
        <v>0</v>
      </c>
      <c r="G63" s="4">
        <v>0</v>
      </c>
      <c r="H63" s="4">
        <v>0</v>
      </c>
      <c r="I63" s="4">
        <v>0</v>
      </c>
      <c r="J63">
        <v>17</v>
      </c>
      <c r="K63">
        <v>22</v>
      </c>
      <c r="L63">
        <v>8</v>
      </c>
      <c r="M63">
        <f t="shared" si="0"/>
        <v>0</v>
      </c>
      <c r="N63">
        <f t="shared" si="1"/>
        <v>0</v>
      </c>
      <c r="O63">
        <f t="shared" si="2"/>
        <v>0</v>
      </c>
      <c r="P63">
        <f t="shared" si="3"/>
        <v>0</v>
      </c>
      <c r="Q63">
        <f t="shared" si="4"/>
        <v>0</v>
      </c>
      <c r="R63">
        <f t="shared" si="5"/>
        <v>0</v>
      </c>
      <c r="S63">
        <f t="shared" si="6"/>
        <v>0</v>
      </c>
      <c r="T63" t="s">
        <v>25</v>
      </c>
    </row>
    <row r="64" spans="1:20">
      <c r="A64" s="4">
        <v>1440787</v>
      </c>
      <c r="B64" s="5">
        <v>45509</v>
      </c>
      <c r="C64" s="4" t="s">
        <v>48</v>
      </c>
      <c r="D64" s="4" t="s">
        <v>44</v>
      </c>
      <c r="E64" s="4" t="s">
        <v>24</v>
      </c>
      <c r="F64" s="4">
        <v>27</v>
      </c>
      <c r="G64" s="4">
        <v>0</v>
      </c>
      <c r="H64" s="4">
        <v>6</v>
      </c>
      <c r="I64" s="4">
        <v>0</v>
      </c>
      <c r="J64">
        <v>17</v>
      </c>
      <c r="K64">
        <v>22</v>
      </c>
      <c r="L64">
        <v>8</v>
      </c>
      <c r="M64">
        <f t="shared" si="0"/>
        <v>459</v>
      </c>
      <c r="N64">
        <f t="shared" si="1"/>
        <v>0</v>
      </c>
      <c r="O64">
        <f t="shared" si="2"/>
        <v>48</v>
      </c>
      <c r="P64">
        <f t="shared" si="3"/>
        <v>0</v>
      </c>
      <c r="Q64">
        <f t="shared" si="4"/>
        <v>507</v>
      </c>
      <c r="R64">
        <f t="shared" si="5"/>
        <v>5.07</v>
      </c>
      <c r="S64">
        <f t="shared" si="6"/>
        <v>501.93</v>
      </c>
      <c r="T64" t="s">
        <v>25</v>
      </c>
    </row>
    <row r="65" spans="1:20">
      <c r="A65" s="4">
        <v>1440787</v>
      </c>
      <c r="B65" s="5">
        <v>45510</v>
      </c>
      <c r="C65" s="4" t="s">
        <v>48</v>
      </c>
      <c r="D65" s="4" t="s">
        <v>44</v>
      </c>
      <c r="E65" s="4" t="s">
        <v>24</v>
      </c>
      <c r="F65" s="4">
        <v>23</v>
      </c>
      <c r="G65" s="4">
        <v>0</v>
      </c>
      <c r="H65" s="4">
        <v>1</v>
      </c>
      <c r="I65" s="4">
        <v>0</v>
      </c>
      <c r="J65">
        <v>17</v>
      </c>
      <c r="K65">
        <v>22</v>
      </c>
      <c r="L65">
        <v>8</v>
      </c>
      <c r="M65">
        <f t="shared" si="0"/>
        <v>391</v>
      </c>
      <c r="N65">
        <f t="shared" si="1"/>
        <v>0</v>
      </c>
      <c r="O65">
        <f t="shared" si="2"/>
        <v>8</v>
      </c>
      <c r="P65">
        <f t="shared" si="3"/>
        <v>0</v>
      </c>
      <c r="Q65">
        <f t="shared" si="4"/>
        <v>399</v>
      </c>
      <c r="R65">
        <f t="shared" si="5"/>
        <v>3.99</v>
      </c>
      <c r="S65">
        <f t="shared" si="6"/>
        <v>395.01</v>
      </c>
      <c r="T65" t="s">
        <v>25</v>
      </c>
    </row>
    <row r="66" spans="1:20">
      <c r="A66" s="4">
        <v>1440787</v>
      </c>
      <c r="B66" s="5">
        <v>45512</v>
      </c>
      <c r="C66" s="4" t="s">
        <v>48</v>
      </c>
      <c r="D66" s="4" t="s">
        <v>44</v>
      </c>
      <c r="E66" s="4" t="s">
        <v>24</v>
      </c>
      <c r="F66" s="4">
        <v>42</v>
      </c>
      <c r="G66" s="4">
        <v>0</v>
      </c>
      <c r="H66" s="4">
        <v>2</v>
      </c>
      <c r="I66" s="4">
        <v>0</v>
      </c>
      <c r="J66">
        <v>17</v>
      </c>
      <c r="K66">
        <v>22</v>
      </c>
      <c r="L66">
        <v>8</v>
      </c>
      <c r="M66">
        <f t="shared" si="0"/>
        <v>714</v>
      </c>
      <c r="N66">
        <f t="shared" si="1"/>
        <v>0</v>
      </c>
      <c r="O66">
        <f t="shared" si="2"/>
        <v>16</v>
      </c>
      <c r="P66">
        <f t="shared" si="3"/>
        <v>0</v>
      </c>
      <c r="Q66">
        <f t="shared" si="4"/>
        <v>730</v>
      </c>
      <c r="R66">
        <f t="shared" si="5"/>
        <v>7.3</v>
      </c>
      <c r="S66">
        <f t="shared" si="6"/>
        <v>722.7</v>
      </c>
      <c r="T66" t="s">
        <v>25</v>
      </c>
    </row>
    <row r="67" spans="1:20">
      <c r="A67" s="4">
        <v>1440787</v>
      </c>
      <c r="B67" s="5">
        <v>45513</v>
      </c>
      <c r="C67" s="4" t="s">
        <v>48</v>
      </c>
      <c r="D67" s="4" t="s">
        <v>44</v>
      </c>
      <c r="E67" s="4" t="s">
        <v>24</v>
      </c>
      <c r="F67" s="4">
        <v>37</v>
      </c>
      <c r="G67" s="4">
        <v>0</v>
      </c>
      <c r="H67" s="4">
        <v>3</v>
      </c>
      <c r="I67" s="4">
        <v>0</v>
      </c>
      <c r="J67">
        <v>17</v>
      </c>
      <c r="K67">
        <v>22</v>
      </c>
      <c r="L67">
        <v>8</v>
      </c>
      <c r="M67">
        <f t="shared" si="0"/>
        <v>629</v>
      </c>
      <c r="N67">
        <f t="shared" si="1"/>
        <v>0</v>
      </c>
      <c r="O67">
        <f t="shared" si="2"/>
        <v>24</v>
      </c>
      <c r="P67">
        <f t="shared" si="3"/>
        <v>0</v>
      </c>
      <c r="Q67">
        <f t="shared" si="4"/>
        <v>653</v>
      </c>
      <c r="R67">
        <f t="shared" si="5"/>
        <v>6.53</v>
      </c>
      <c r="S67">
        <f t="shared" si="6"/>
        <v>646.47</v>
      </c>
      <c r="T67" t="s">
        <v>25</v>
      </c>
    </row>
    <row r="68" spans="1:20">
      <c r="A68" s="4">
        <v>1440787</v>
      </c>
      <c r="B68" s="5">
        <v>45514</v>
      </c>
      <c r="C68" s="4" t="s">
        <v>48</v>
      </c>
      <c r="D68" s="4" t="s">
        <v>44</v>
      </c>
      <c r="E68" s="4" t="s">
        <v>24</v>
      </c>
      <c r="F68" s="4">
        <v>38</v>
      </c>
      <c r="G68" s="4">
        <v>0</v>
      </c>
      <c r="H68" s="4">
        <v>2</v>
      </c>
      <c r="I68" s="4">
        <v>0</v>
      </c>
      <c r="J68">
        <v>17</v>
      </c>
      <c r="K68">
        <v>22</v>
      </c>
      <c r="L68">
        <v>8</v>
      </c>
      <c r="M68">
        <f t="shared" ref="M68:M131" si="7">F68*J68</f>
        <v>646</v>
      </c>
      <c r="N68">
        <f t="shared" ref="N68:N131" si="8">G68*K68</f>
        <v>0</v>
      </c>
      <c r="O68">
        <f t="shared" ref="O68:O131" si="9">H68*L68</f>
        <v>16</v>
      </c>
      <c r="P68">
        <f t="shared" ref="P68:P131" si="10">I68*2.5</f>
        <v>0</v>
      </c>
      <c r="Q68">
        <f t="shared" ref="Q68:Q131" si="11">M68+N68+O68+P68</f>
        <v>662</v>
      </c>
      <c r="R68">
        <f t="shared" ref="R68:R131" si="12">Q68*1%</f>
        <v>6.62</v>
      </c>
      <c r="S68">
        <f t="shared" ref="S68:S131" si="13">Q68-R68</f>
        <v>655.38</v>
      </c>
      <c r="T68" t="s">
        <v>25</v>
      </c>
    </row>
    <row r="69" spans="1:20">
      <c r="A69" s="4">
        <v>1844773</v>
      </c>
      <c r="B69" s="5">
        <v>45509</v>
      </c>
      <c r="C69" s="4" t="s">
        <v>49</v>
      </c>
      <c r="D69" s="4" t="s">
        <v>44</v>
      </c>
      <c r="E69" s="4" t="s">
        <v>24</v>
      </c>
      <c r="F69" s="4">
        <v>33</v>
      </c>
      <c r="G69" s="4">
        <v>0</v>
      </c>
      <c r="H69" s="4">
        <v>8</v>
      </c>
      <c r="I69" s="4">
        <v>0</v>
      </c>
      <c r="J69">
        <v>17</v>
      </c>
      <c r="K69">
        <v>22</v>
      </c>
      <c r="L69">
        <v>8</v>
      </c>
      <c r="M69">
        <f t="shared" si="7"/>
        <v>561</v>
      </c>
      <c r="N69">
        <f t="shared" si="8"/>
        <v>0</v>
      </c>
      <c r="O69">
        <f t="shared" si="9"/>
        <v>64</v>
      </c>
      <c r="P69">
        <f t="shared" si="10"/>
        <v>0</v>
      </c>
      <c r="Q69">
        <f t="shared" si="11"/>
        <v>625</v>
      </c>
      <c r="R69">
        <f t="shared" si="12"/>
        <v>6.25</v>
      </c>
      <c r="S69">
        <f t="shared" si="13"/>
        <v>618.75</v>
      </c>
      <c r="T69" t="s">
        <v>25</v>
      </c>
    </row>
    <row r="70" spans="1:20">
      <c r="A70" s="4">
        <v>1844773</v>
      </c>
      <c r="B70" s="5">
        <v>45510</v>
      </c>
      <c r="C70" s="4" t="s">
        <v>49</v>
      </c>
      <c r="D70" s="4" t="s">
        <v>44</v>
      </c>
      <c r="E70" s="4" t="s">
        <v>24</v>
      </c>
      <c r="F70" s="4">
        <v>35</v>
      </c>
      <c r="G70" s="4">
        <v>0</v>
      </c>
      <c r="H70" s="4">
        <v>2</v>
      </c>
      <c r="I70" s="4">
        <v>0</v>
      </c>
      <c r="J70">
        <v>17</v>
      </c>
      <c r="K70">
        <v>22</v>
      </c>
      <c r="L70">
        <v>8</v>
      </c>
      <c r="M70">
        <f t="shared" si="7"/>
        <v>595</v>
      </c>
      <c r="N70">
        <f t="shared" si="8"/>
        <v>0</v>
      </c>
      <c r="O70">
        <f t="shared" si="9"/>
        <v>16</v>
      </c>
      <c r="P70">
        <f t="shared" si="10"/>
        <v>0</v>
      </c>
      <c r="Q70">
        <f t="shared" si="11"/>
        <v>611</v>
      </c>
      <c r="R70">
        <f t="shared" si="12"/>
        <v>6.11</v>
      </c>
      <c r="S70">
        <f t="shared" si="13"/>
        <v>604.89</v>
      </c>
      <c r="T70" t="s">
        <v>25</v>
      </c>
    </row>
    <row r="71" spans="1:20">
      <c r="A71" s="4">
        <v>1844773</v>
      </c>
      <c r="B71" s="5">
        <v>45511</v>
      </c>
      <c r="C71" s="4" t="s">
        <v>49</v>
      </c>
      <c r="D71" s="4" t="s">
        <v>44</v>
      </c>
      <c r="E71" s="4" t="s">
        <v>24</v>
      </c>
      <c r="F71" s="4">
        <v>48</v>
      </c>
      <c r="G71" s="4">
        <v>0</v>
      </c>
      <c r="H71" s="4">
        <v>4</v>
      </c>
      <c r="I71" s="4">
        <v>0</v>
      </c>
      <c r="J71">
        <v>17</v>
      </c>
      <c r="K71">
        <v>22</v>
      </c>
      <c r="L71">
        <v>8</v>
      </c>
      <c r="M71">
        <f t="shared" si="7"/>
        <v>816</v>
      </c>
      <c r="N71">
        <f t="shared" si="8"/>
        <v>0</v>
      </c>
      <c r="O71">
        <f t="shared" si="9"/>
        <v>32</v>
      </c>
      <c r="P71">
        <f t="shared" si="10"/>
        <v>0</v>
      </c>
      <c r="Q71">
        <f t="shared" si="11"/>
        <v>848</v>
      </c>
      <c r="R71">
        <f t="shared" si="12"/>
        <v>8.48</v>
      </c>
      <c r="S71">
        <f t="shared" si="13"/>
        <v>839.52</v>
      </c>
      <c r="T71" t="s">
        <v>25</v>
      </c>
    </row>
    <row r="72" spans="1:20">
      <c r="A72" s="4">
        <v>1844773</v>
      </c>
      <c r="B72" s="5">
        <v>45513</v>
      </c>
      <c r="C72" s="4" t="s">
        <v>49</v>
      </c>
      <c r="D72" s="4" t="s">
        <v>44</v>
      </c>
      <c r="E72" s="4" t="s">
        <v>24</v>
      </c>
      <c r="F72" s="4">
        <v>63</v>
      </c>
      <c r="G72" s="4">
        <v>0</v>
      </c>
      <c r="H72" s="4">
        <v>5</v>
      </c>
      <c r="I72" s="4">
        <v>0</v>
      </c>
      <c r="J72">
        <v>17</v>
      </c>
      <c r="K72">
        <v>22</v>
      </c>
      <c r="L72">
        <v>8</v>
      </c>
      <c r="M72">
        <f t="shared" si="7"/>
        <v>1071</v>
      </c>
      <c r="N72">
        <f t="shared" si="8"/>
        <v>0</v>
      </c>
      <c r="O72">
        <f t="shared" si="9"/>
        <v>40</v>
      </c>
      <c r="P72">
        <f t="shared" si="10"/>
        <v>0</v>
      </c>
      <c r="Q72">
        <f t="shared" si="11"/>
        <v>1111</v>
      </c>
      <c r="R72">
        <f t="shared" si="12"/>
        <v>11.11</v>
      </c>
      <c r="S72">
        <f t="shared" si="13"/>
        <v>1099.89</v>
      </c>
      <c r="T72" t="s">
        <v>25</v>
      </c>
    </row>
    <row r="73" spans="1:20">
      <c r="A73" s="4">
        <v>1844773</v>
      </c>
      <c r="B73" s="5">
        <v>45514</v>
      </c>
      <c r="C73" s="4" t="s">
        <v>49</v>
      </c>
      <c r="D73" s="4" t="s">
        <v>44</v>
      </c>
      <c r="E73" s="4" t="s">
        <v>24</v>
      </c>
      <c r="F73" s="4">
        <v>42</v>
      </c>
      <c r="G73" s="4">
        <v>0</v>
      </c>
      <c r="H73" s="4">
        <v>2</v>
      </c>
      <c r="I73" s="4">
        <v>0</v>
      </c>
      <c r="J73">
        <v>17</v>
      </c>
      <c r="K73">
        <v>22</v>
      </c>
      <c r="L73">
        <v>8</v>
      </c>
      <c r="M73">
        <f t="shared" si="7"/>
        <v>714</v>
      </c>
      <c r="N73">
        <f t="shared" si="8"/>
        <v>0</v>
      </c>
      <c r="O73">
        <f t="shared" si="9"/>
        <v>16</v>
      </c>
      <c r="P73">
        <f t="shared" si="10"/>
        <v>0</v>
      </c>
      <c r="Q73">
        <f t="shared" si="11"/>
        <v>730</v>
      </c>
      <c r="R73">
        <f t="shared" si="12"/>
        <v>7.3</v>
      </c>
      <c r="S73">
        <f t="shared" si="13"/>
        <v>722.7</v>
      </c>
      <c r="T73" t="s">
        <v>25</v>
      </c>
    </row>
    <row r="74" spans="1:20">
      <c r="A74" s="4">
        <v>1844773</v>
      </c>
      <c r="B74" s="5">
        <v>45515</v>
      </c>
      <c r="C74" s="4" t="s">
        <v>49</v>
      </c>
      <c r="D74" s="4" t="s">
        <v>44</v>
      </c>
      <c r="E74" s="4" t="s">
        <v>24</v>
      </c>
      <c r="F74" s="4">
        <v>41</v>
      </c>
      <c r="G74" s="4">
        <v>0</v>
      </c>
      <c r="H74" s="4">
        <v>0</v>
      </c>
      <c r="I74" s="4">
        <v>0</v>
      </c>
      <c r="J74">
        <v>17</v>
      </c>
      <c r="K74">
        <v>22</v>
      </c>
      <c r="L74">
        <v>8</v>
      </c>
      <c r="M74">
        <f t="shared" si="7"/>
        <v>697</v>
      </c>
      <c r="N74">
        <f t="shared" si="8"/>
        <v>0</v>
      </c>
      <c r="O74">
        <f t="shared" si="9"/>
        <v>0</v>
      </c>
      <c r="P74">
        <f t="shared" si="10"/>
        <v>0</v>
      </c>
      <c r="Q74">
        <f t="shared" si="11"/>
        <v>697</v>
      </c>
      <c r="R74">
        <f t="shared" si="12"/>
        <v>6.97</v>
      </c>
      <c r="S74">
        <f t="shared" si="13"/>
        <v>690.03</v>
      </c>
      <c r="T74" t="s">
        <v>25</v>
      </c>
    </row>
    <row r="75" spans="1:20">
      <c r="A75" s="4">
        <v>1980518</v>
      </c>
      <c r="B75" s="5">
        <v>45509</v>
      </c>
      <c r="C75" s="4" t="s">
        <v>50</v>
      </c>
      <c r="D75" s="4" t="s">
        <v>44</v>
      </c>
      <c r="E75" s="4" t="s">
        <v>24</v>
      </c>
      <c r="F75" s="4">
        <v>1</v>
      </c>
      <c r="G75" s="4">
        <v>0</v>
      </c>
      <c r="H75" s="4">
        <v>0</v>
      </c>
      <c r="I75" s="4">
        <v>0</v>
      </c>
      <c r="J75">
        <v>17</v>
      </c>
      <c r="K75">
        <v>22</v>
      </c>
      <c r="L75">
        <v>8</v>
      </c>
      <c r="M75">
        <f t="shared" si="7"/>
        <v>17</v>
      </c>
      <c r="N75">
        <f t="shared" si="8"/>
        <v>0</v>
      </c>
      <c r="O75">
        <f t="shared" si="9"/>
        <v>0</v>
      </c>
      <c r="P75">
        <f t="shared" si="10"/>
        <v>0</v>
      </c>
      <c r="Q75">
        <f t="shared" si="11"/>
        <v>17</v>
      </c>
      <c r="R75">
        <f t="shared" si="12"/>
        <v>0.17</v>
      </c>
      <c r="S75">
        <f t="shared" si="13"/>
        <v>16.83</v>
      </c>
      <c r="T75" t="s">
        <v>25</v>
      </c>
    </row>
    <row r="76" spans="1:20">
      <c r="A76" s="4">
        <v>2074755</v>
      </c>
      <c r="B76" s="5">
        <v>45510</v>
      </c>
      <c r="C76" s="4" t="s">
        <v>51</v>
      </c>
      <c r="D76" s="4" t="s">
        <v>44</v>
      </c>
      <c r="E76" s="4" t="s">
        <v>24</v>
      </c>
      <c r="F76" s="4">
        <v>0</v>
      </c>
      <c r="G76" s="4">
        <v>0</v>
      </c>
      <c r="H76" s="4">
        <v>0</v>
      </c>
      <c r="I76" s="4">
        <v>0</v>
      </c>
      <c r="J76">
        <v>17</v>
      </c>
      <c r="K76">
        <v>22</v>
      </c>
      <c r="L76">
        <v>8</v>
      </c>
      <c r="M76">
        <f t="shared" si="7"/>
        <v>0</v>
      </c>
      <c r="N76">
        <f t="shared" si="8"/>
        <v>0</v>
      </c>
      <c r="O76">
        <f t="shared" si="9"/>
        <v>0</v>
      </c>
      <c r="P76">
        <f t="shared" si="10"/>
        <v>0</v>
      </c>
      <c r="Q76">
        <f t="shared" si="11"/>
        <v>0</v>
      </c>
      <c r="R76">
        <f t="shared" si="12"/>
        <v>0</v>
      </c>
      <c r="S76">
        <f t="shared" si="13"/>
        <v>0</v>
      </c>
      <c r="T76" t="s">
        <v>25</v>
      </c>
    </row>
    <row r="77" spans="1:20">
      <c r="A77" s="4">
        <v>2074755</v>
      </c>
      <c r="B77" s="5">
        <v>45512</v>
      </c>
      <c r="C77" s="4" t="s">
        <v>51</v>
      </c>
      <c r="D77" s="4" t="s">
        <v>44</v>
      </c>
      <c r="E77" s="4" t="s">
        <v>24</v>
      </c>
      <c r="F77" s="4">
        <v>16</v>
      </c>
      <c r="G77" s="4">
        <v>0</v>
      </c>
      <c r="H77" s="4">
        <v>3</v>
      </c>
      <c r="I77" s="4">
        <v>0</v>
      </c>
      <c r="J77">
        <v>17</v>
      </c>
      <c r="K77">
        <v>22</v>
      </c>
      <c r="L77">
        <v>8</v>
      </c>
      <c r="M77">
        <f t="shared" si="7"/>
        <v>272</v>
      </c>
      <c r="N77">
        <f t="shared" si="8"/>
        <v>0</v>
      </c>
      <c r="O77">
        <f t="shared" si="9"/>
        <v>24</v>
      </c>
      <c r="P77">
        <f t="shared" si="10"/>
        <v>0</v>
      </c>
      <c r="Q77">
        <f t="shared" si="11"/>
        <v>296</v>
      </c>
      <c r="R77">
        <f t="shared" si="12"/>
        <v>2.96</v>
      </c>
      <c r="S77">
        <f t="shared" si="13"/>
        <v>293.04</v>
      </c>
      <c r="T77" t="s">
        <v>25</v>
      </c>
    </row>
    <row r="78" spans="1:20">
      <c r="A78" s="4">
        <v>2260443</v>
      </c>
      <c r="B78" s="5">
        <v>45509</v>
      </c>
      <c r="C78" s="4" t="s">
        <v>52</v>
      </c>
      <c r="D78" s="4" t="s">
        <v>53</v>
      </c>
      <c r="E78" s="4" t="s">
        <v>54</v>
      </c>
      <c r="F78" s="4">
        <v>44</v>
      </c>
      <c r="G78" s="4">
        <v>0</v>
      </c>
      <c r="H78" s="4">
        <v>4</v>
      </c>
      <c r="I78" s="4">
        <v>0</v>
      </c>
      <c r="J78">
        <v>17</v>
      </c>
      <c r="K78">
        <v>22</v>
      </c>
      <c r="L78">
        <v>8</v>
      </c>
      <c r="M78">
        <f t="shared" si="7"/>
        <v>748</v>
      </c>
      <c r="N78">
        <f t="shared" si="8"/>
        <v>0</v>
      </c>
      <c r="O78">
        <f t="shared" si="9"/>
        <v>32</v>
      </c>
      <c r="P78">
        <f t="shared" si="10"/>
        <v>0</v>
      </c>
      <c r="Q78">
        <f t="shared" si="11"/>
        <v>780</v>
      </c>
      <c r="R78">
        <f t="shared" si="12"/>
        <v>7.8</v>
      </c>
      <c r="S78">
        <f t="shared" si="13"/>
        <v>772.2</v>
      </c>
      <c r="T78" t="s">
        <v>25</v>
      </c>
    </row>
    <row r="79" spans="1:20">
      <c r="A79" s="4">
        <v>2260443</v>
      </c>
      <c r="B79" s="5">
        <v>45510</v>
      </c>
      <c r="C79" s="4" t="s">
        <v>52</v>
      </c>
      <c r="D79" s="4" t="s">
        <v>53</v>
      </c>
      <c r="E79" s="4" t="s">
        <v>54</v>
      </c>
      <c r="F79" s="4">
        <v>45</v>
      </c>
      <c r="G79" s="4">
        <v>12</v>
      </c>
      <c r="H79" s="4">
        <v>6</v>
      </c>
      <c r="I79" s="4">
        <v>0</v>
      </c>
      <c r="J79">
        <v>17</v>
      </c>
      <c r="K79">
        <v>22</v>
      </c>
      <c r="L79">
        <v>8</v>
      </c>
      <c r="M79">
        <f t="shared" si="7"/>
        <v>765</v>
      </c>
      <c r="N79">
        <f t="shared" si="8"/>
        <v>264</v>
      </c>
      <c r="O79">
        <f t="shared" si="9"/>
        <v>48</v>
      </c>
      <c r="P79">
        <f t="shared" si="10"/>
        <v>0</v>
      </c>
      <c r="Q79">
        <f t="shared" si="11"/>
        <v>1077</v>
      </c>
      <c r="R79">
        <f t="shared" si="12"/>
        <v>10.77</v>
      </c>
      <c r="S79">
        <f t="shared" si="13"/>
        <v>1066.23</v>
      </c>
      <c r="T79" t="s">
        <v>25</v>
      </c>
    </row>
    <row r="80" spans="1:20">
      <c r="A80" s="4">
        <v>2260443</v>
      </c>
      <c r="B80" s="5">
        <v>45511</v>
      </c>
      <c r="C80" s="4" t="s">
        <v>52</v>
      </c>
      <c r="D80" s="4" t="s">
        <v>53</v>
      </c>
      <c r="E80" s="4" t="s">
        <v>54</v>
      </c>
      <c r="F80" s="4">
        <v>29</v>
      </c>
      <c r="G80" s="4">
        <v>8</v>
      </c>
      <c r="H80" s="4">
        <v>8</v>
      </c>
      <c r="I80" s="4">
        <v>0</v>
      </c>
      <c r="J80">
        <v>17</v>
      </c>
      <c r="K80">
        <v>22</v>
      </c>
      <c r="L80">
        <v>8</v>
      </c>
      <c r="M80">
        <f t="shared" si="7"/>
        <v>493</v>
      </c>
      <c r="N80">
        <f t="shared" si="8"/>
        <v>176</v>
      </c>
      <c r="O80">
        <f t="shared" si="9"/>
        <v>64</v>
      </c>
      <c r="P80">
        <f t="shared" si="10"/>
        <v>0</v>
      </c>
      <c r="Q80">
        <f t="shared" si="11"/>
        <v>733</v>
      </c>
      <c r="R80">
        <f t="shared" si="12"/>
        <v>7.33</v>
      </c>
      <c r="S80">
        <f t="shared" si="13"/>
        <v>725.67</v>
      </c>
      <c r="T80" t="s">
        <v>25</v>
      </c>
    </row>
    <row r="81" spans="1:20">
      <c r="A81" s="4">
        <v>2260443</v>
      </c>
      <c r="B81" s="5">
        <v>45512</v>
      </c>
      <c r="C81" s="4" t="s">
        <v>52</v>
      </c>
      <c r="D81" s="4" t="s">
        <v>53</v>
      </c>
      <c r="E81" s="4" t="s">
        <v>54</v>
      </c>
      <c r="F81" s="4">
        <v>34</v>
      </c>
      <c r="G81" s="4">
        <v>9</v>
      </c>
      <c r="H81" s="4">
        <v>12</v>
      </c>
      <c r="I81" s="4">
        <v>0</v>
      </c>
      <c r="J81">
        <v>17</v>
      </c>
      <c r="K81">
        <v>22</v>
      </c>
      <c r="L81">
        <v>8</v>
      </c>
      <c r="M81">
        <f t="shared" si="7"/>
        <v>578</v>
      </c>
      <c r="N81">
        <f t="shared" si="8"/>
        <v>198</v>
      </c>
      <c r="O81">
        <f t="shared" si="9"/>
        <v>96</v>
      </c>
      <c r="P81">
        <f t="shared" si="10"/>
        <v>0</v>
      </c>
      <c r="Q81">
        <f t="shared" si="11"/>
        <v>872</v>
      </c>
      <c r="R81">
        <f t="shared" si="12"/>
        <v>8.72</v>
      </c>
      <c r="S81">
        <f t="shared" si="13"/>
        <v>863.28</v>
      </c>
      <c r="T81" t="s">
        <v>25</v>
      </c>
    </row>
    <row r="82" spans="1:20">
      <c r="A82" s="4">
        <v>2260443</v>
      </c>
      <c r="B82" s="5">
        <v>45513</v>
      </c>
      <c r="C82" s="4" t="s">
        <v>52</v>
      </c>
      <c r="D82" s="4" t="s">
        <v>53</v>
      </c>
      <c r="E82" s="4" t="s">
        <v>54</v>
      </c>
      <c r="F82" s="4">
        <v>34</v>
      </c>
      <c r="G82" s="4">
        <v>0</v>
      </c>
      <c r="H82" s="4">
        <v>5</v>
      </c>
      <c r="I82" s="4">
        <v>0</v>
      </c>
      <c r="J82">
        <v>17</v>
      </c>
      <c r="K82">
        <v>22</v>
      </c>
      <c r="L82">
        <v>8</v>
      </c>
      <c r="M82">
        <f t="shared" si="7"/>
        <v>578</v>
      </c>
      <c r="N82">
        <f t="shared" si="8"/>
        <v>0</v>
      </c>
      <c r="O82">
        <f t="shared" si="9"/>
        <v>40</v>
      </c>
      <c r="P82">
        <f t="shared" si="10"/>
        <v>0</v>
      </c>
      <c r="Q82">
        <f t="shared" si="11"/>
        <v>618</v>
      </c>
      <c r="R82">
        <f t="shared" si="12"/>
        <v>6.18</v>
      </c>
      <c r="S82">
        <f t="shared" si="13"/>
        <v>611.82</v>
      </c>
      <c r="T82" t="s">
        <v>25</v>
      </c>
    </row>
    <row r="83" spans="1:20">
      <c r="A83" s="4">
        <v>2260443</v>
      </c>
      <c r="B83" s="5">
        <v>45514</v>
      </c>
      <c r="C83" s="4" t="s">
        <v>52</v>
      </c>
      <c r="D83" s="4" t="s">
        <v>53</v>
      </c>
      <c r="E83" s="4" t="s">
        <v>54</v>
      </c>
      <c r="F83" s="4">
        <v>27</v>
      </c>
      <c r="G83" s="4">
        <v>0</v>
      </c>
      <c r="H83" s="4">
        <v>3</v>
      </c>
      <c r="I83" s="4">
        <v>0</v>
      </c>
      <c r="J83">
        <v>17</v>
      </c>
      <c r="K83">
        <v>22</v>
      </c>
      <c r="L83">
        <v>8</v>
      </c>
      <c r="M83">
        <f t="shared" si="7"/>
        <v>459</v>
      </c>
      <c r="N83">
        <f t="shared" si="8"/>
        <v>0</v>
      </c>
      <c r="O83">
        <f t="shared" si="9"/>
        <v>24</v>
      </c>
      <c r="P83">
        <f t="shared" si="10"/>
        <v>0</v>
      </c>
      <c r="Q83">
        <f t="shared" si="11"/>
        <v>483</v>
      </c>
      <c r="R83">
        <f t="shared" si="12"/>
        <v>4.83</v>
      </c>
      <c r="S83">
        <f t="shared" si="13"/>
        <v>478.17</v>
      </c>
      <c r="T83" t="s">
        <v>25</v>
      </c>
    </row>
    <row r="84" spans="1:20">
      <c r="A84" s="4">
        <v>2260443</v>
      </c>
      <c r="B84" s="5">
        <v>45515</v>
      </c>
      <c r="C84" s="4" t="s">
        <v>52</v>
      </c>
      <c r="D84" s="4" t="s">
        <v>53</v>
      </c>
      <c r="E84" s="4" t="s">
        <v>54</v>
      </c>
      <c r="F84" s="4">
        <v>41</v>
      </c>
      <c r="G84" s="4">
        <v>0</v>
      </c>
      <c r="H84" s="4">
        <v>7</v>
      </c>
      <c r="I84" s="4">
        <v>0</v>
      </c>
      <c r="J84">
        <v>17</v>
      </c>
      <c r="K84">
        <v>22</v>
      </c>
      <c r="L84">
        <v>8</v>
      </c>
      <c r="M84">
        <f t="shared" si="7"/>
        <v>697</v>
      </c>
      <c r="N84">
        <f t="shared" si="8"/>
        <v>0</v>
      </c>
      <c r="O84">
        <f t="shared" si="9"/>
        <v>56</v>
      </c>
      <c r="P84">
        <f t="shared" si="10"/>
        <v>0</v>
      </c>
      <c r="Q84">
        <f t="shared" si="11"/>
        <v>753</v>
      </c>
      <c r="R84">
        <f t="shared" si="12"/>
        <v>7.53</v>
      </c>
      <c r="S84">
        <f t="shared" si="13"/>
        <v>745.47</v>
      </c>
      <c r="T84" t="s">
        <v>25</v>
      </c>
    </row>
    <row r="85" spans="1:20">
      <c r="A85" s="4">
        <v>2279276</v>
      </c>
      <c r="B85" s="5">
        <v>45514</v>
      </c>
      <c r="C85" s="4" t="s">
        <v>55</v>
      </c>
      <c r="D85" s="4" t="s">
        <v>56</v>
      </c>
      <c r="E85" s="4" t="s">
        <v>24</v>
      </c>
      <c r="F85" s="4">
        <v>0</v>
      </c>
      <c r="G85" s="4">
        <v>0</v>
      </c>
      <c r="H85" s="4">
        <v>0</v>
      </c>
      <c r="I85" s="4">
        <v>0</v>
      </c>
      <c r="J85">
        <v>17</v>
      </c>
      <c r="K85">
        <v>22</v>
      </c>
      <c r="L85">
        <v>8</v>
      </c>
      <c r="M85">
        <f t="shared" si="7"/>
        <v>0</v>
      </c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>
        <f t="shared" si="12"/>
        <v>0</v>
      </c>
      <c r="S85">
        <f t="shared" si="13"/>
        <v>0</v>
      </c>
      <c r="T85" t="s">
        <v>25</v>
      </c>
    </row>
    <row r="86" spans="1:20">
      <c r="A86" s="4">
        <v>2422645</v>
      </c>
      <c r="B86" s="5">
        <v>45509</v>
      </c>
      <c r="C86" s="4" t="s">
        <v>57</v>
      </c>
      <c r="D86" s="4" t="s">
        <v>58</v>
      </c>
      <c r="E86" s="4" t="s">
        <v>24</v>
      </c>
      <c r="F86" s="4">
        <v>34</v>
      </c>
      <c r="G86" s="4">
        <v>26</v>
      </c>
      <c r="H86" s="4">
        <v>5</v>
      </c>
      <c r="I86" s="4">
        <v>0</v>
      </c>
      <c r="J86">
        <v>17</v>
      </c>
      <c r="K86">
        <v>22</v>
      </c>
      <c r="L86">
        <v>8</v>
      </c>
      <c r="M86">
        <f t="shared" si="7"/>
        <v>578</v>
      </c>
      <c r="N86">
        <f t="shared" si="8"/>
        <v>572</v>
      </c>
      <c r="O86">
        <f t="shared" si="9"/>
        <v>40</v>
      </c>
      <c r="P86">
        <f t="shared" si="10"/>
        <v>0</v>
      </c>
      <c r="Q86">
        <f t="shared" si="11"/>
        <v>1190</v>
      </c>
      <c r="R86">
        <f t="shared" si="12"/>
        <v>11.9</v>
      </c>
      <c r="S86">
        <f t="shared" si="13"/>
        <v>1178.1</v>
      </c>
      <c r="T86" t="s">
        <v>25</v>
      </c>
    </row>
    <row r="87" spans="1:20">
      <c r="A87" s="4">
        <v>2422645</v>
      </c>
      <c r="B87" s="5">
        <v>45510</v>
      </c>
      <c r="C87" s="4" t="s">
        <v>57</v>
      </c>
      <c r="D87" s="4" t="s">
        <v>58</v>
      </c>
      <c r="E87" s="4" t="s">
        <v>24</v>
      </c>
      <c r="F87" s="4">
        <v>54</v>
      </c>
      <c r="G87" s="4">
        <v>0</v>
      </c>
      <c r="H87" s="4">
        <v>14</v>
      </c>
      <c r="I87" s="4">
        <v>0</v>
      </c>
      <c r="J87">
        <v>17</v>
      </c>
      <c r="K87">
        <v>22</v>
      </c>
      <c r="L87">
        <v>8</v>
      </c>
      <c r="M87">
        <f t="shared" si="7"/>
        <v>918</v>
      </c>
      <c r="N87">
        <f t="shared" si="8"/>
        <v>0</v>
      </c>
      <c r="O87">
        <f t="shared" si="9"/>
        <v>112</v>
      </c>
      <c r="P87">
        <f t="shared" si="10"/>
        <v>0</v>
      </c>
      <c r="Q87">
        <f t="shared" si="11"/>
        <v>1030</v>
      </c>
      <c r="R87">
        <f t="shared" si="12"/>
        <v>10.3</v>
      </c>
      <c r="S87">
        <f t="shared" si="13"/>
        <v>1019.7</v>
      </c>
      <c r="T87" t="s">
        <v>25</v>
      </c>
    </row>
    <row r="88" spans="1:20">
      <c r="A88" s="4">
        <v>2422645</v>
      </c>
      <c r="B88" s="5">
        <v>45512</v>
      </c>
      <c r="C88" s="4" t="s">
        <v>57</v>
      </c>
      <c r="D88" s="4" t="s">
        <v>58</v>
      </c>
      <c r="E88" s="4" t="s">
        <v>24</v>
      </c>
      <c r="F88" s="4">
        <v>49</v>
      </c>
      <c r="G88" s="4">
        <v>18</v>
      </c>
      <c r="H88" s="4">
        <v>18</v>
      </c>
      <c r="I88" s="4">
        <v>0</v>
      </c>
      <c r="J88">
        <v>17</v>
      </c>
      <c r="K88">
        <v>22</v>
      </c>
      <c r="L88">
        <v>8</v>
      </c>
      <c r="M88">
        <f t="shared" si="7"/>
        <v>833</v>
      </c>
      <c r="N88">
        <f t="shared" si="8"/>
        <v>396</v>
      </c>
      <c r="O88">
        <f t="shared" si="9"/>
        <v>144</v>
      </c>
      <c r="P88">
        <f t="shared" si="10"/>
        <v>0</v>
      </c>
      <c r="Q88">
        <f t="shared" si="11"/>
        <v>1373</v>
      </c>
      <c r="R88">
        <f t="shared" si="12"/>
        <v>13.73</v>
      </c>
      <c r="S88">
        <f t="shared" si="13"/>
        <v>1359.27</v>
      </c>
      <c r="T88" t="s">
        <v>25</v>
      </c>
    </row>
    <row r="89" spans="1:20">
      <c r="A89" s="4">
        <v>2422645</v>
      </c>
      <c r="B89" s="5">
        <v>45513</v>
      </c>
      <c r="C89" s="4" t="s">
        <v>57</v>
      </c>
      <c r="D89" s="4" t="s">
        <v>58</v>
      </c>
      <c r="E89" s="4" t="s">
        <v>24</v>
      </c>
      <c r="F89" s="4">
        <v>17</v>
      </c>
      <c r="G89" s="4">
        <v>18</v>
      </c>
      <c r="H89" s="4">
        <v>4</v>
      </c>
      <c r="I89" s="4">
        <v>0</v>
      </c>
      <c r="J89">
        <v>17</v>
      </c>
      <c r="K89">
        <v>22</v>
      </c>
      <c r="L89">
        <v>8</v>
      </c>
      <c r="M89">
        <f t="shared" si="7"/>
        <v>289</v>
      </c>
      <c r="N89">
        <f t="shared" si="8"/>
        <v>396</v>
      </c>
      <c r="O89">
        <f t="shared" si="9"/>
        <v>32</v>
      </c>
      <c r="P89">
        <f t="shared" si="10"/>
        <v>0</v>
      </c>
      <c r="Q89">
        <f t="shared" si="11"/>
        <v>717</v>
      </c>
      <c r="R89">
        <f t="shared" si="12"/>
        <v>7.17</v>
      </c>
      <c r="S89">
        <f t="shared" si="13"/>
        <v>709.83</v>
      </c>
      <c r="T89" t="s">
        <v>25</v>
      </c>
    </row>
    <row r="90" spans="1:20">
      <c r="A90" s="4">
        <v>2422645</v>
      </c>
      <c r="B90" s="5">
        <v>45514</v>
      </c>
      <c r="C90" s="4" t="s">
        <v>57</v>
      </c>
      <c r="D90" s="4" t="s">
        <v>58</v>
      </c>
      <c r="E90" s="4" t="s">
        <v>24</v>
      </c>
      <c r="F90" s="4">
        <v>30</v>
      </c>
      <c r="G90" s="4">
        <v>20</v>
      </c>
      <c r="H90" s="4">
        <v>5</v>
      </c>
      <c r="I90" s="4">
        <v>0</v>
      </c>
      <c r="J90">
        <v>17</v>
      </c>
      <c r="K90">
        <v>22</v>
      </c>
      <c r="L90">
        <v>8</v>
      </c>
      <c r="M90">
        <f t="shared" si="7"/>
        <v>510</v>
      </c>
      <c r="N90">
        <f t="shared" si="8"/>
        <v>440</v>
      </c>
      <c r="O90">
        <f t="shared" si="9"/>
        <v>40</v>
      </c>
      <c r="P90">
        <f t="shared" si="10"/>
        <v>0</v>
      </c>
      <c r="Q90">
        <f t="shared" si="11"/>
        <v>990</v>
      </c>
      <c r="R90">
        <f t="shared" si="12"/>
        <v>9.9</v>
      </c>
      <c r="S90">
        <f t="shared" si="13"/>
        <v>980.1</v>
      </c>
      <c r="T90" t="s">
        <v>25</v>
      </c>
    </row>
    <row r="91" spans="1:20">
      <c r="A91" s="4">
        <v>2422645</v>
      </c>
      <c r="B91" s="5">
        <v>45515</v>
      </c>
      <c r="C91" s="4" t="s">
        <v>57</v>
      </c>
      <c r="D91" s="4" t="s">
        <v>58</v>
      </c>
      <c r="E91" s="4" t="s">
        <v>24</v>
      </c>
      <c r="F91" s="4">
        <v>57</v>
      </c>
      <c r="G91" s="4">
        <v>0</v>
      </c>
      <c r="H91" s="4">
        <v>8</v>
      </c>
      <c r="I91" s="4">
        <v>0</v>
      </c>
      <c r="J91">
        <v>17</v>
      </c>
      <c r="K91">
        <v>22</v>
      </c>
      <c r="L91">
        <v>8</v>
      </c>
      <c r="M91">
        <f t="shared" si="7"/>
        <v>969</v>
      </c>
      <c r="N91">
        <f t="shared" si="8"/>
        <v>0</v>
      </c>
      <c r="O91">
        <f t="shared" si="9"/>
        <v>64</v>
      </c>
      <c r="P91">
        <f t="shared" si="10"/>
        <v>0</v>
      </c>
      <c r="Q91">
        <f t="shared" si="11"/>
        <v>1033</v>
      </c>
      <c r="R91">
        <f t="shared" si="12"/>
        <v>10.33</v>
      </c>
      <c r="S91">
        <f t="shared" si="13"/>
        <v>1022.67</v>
      </c>
      <c r="T91" t="s">
        <v>25</v>
      </c>
    </row>
    <row r="92" spans="1:20">
      <c r="A92" s="4">
        <v>2486469</v>
      </c>
      <c r="B92" s="5">
        <v>45509</v>
      </c>
      <c r="C92" s="4" t="s">
        <v>59</v>
      </c>
      <c r="D92" s="4" t="s">
        <v>27</v>
      </c>
      <c r="E92" s="4" t="s">
        <v>24</v>
      </c>
      <c r="F92" s="4">
        <v>38</v>
      </c>
      <c r="G92" s="4">
        <v>0</v>
      </c>
      <c r="H92" s="4">
        <v>3</v>
      </c>
      <c r="I92" s="4">
        <v>0</v>
      </c>
      <c r="J92">
        <v>17</v>
      </c>
      <c r="K92">
        <v>22</v>
      </c>
      <c r="L92">
        <v>8</v>
      </c>
      <c r="M92">
        <f t="shared" si="7"/>
        <v>646</v>
      </c>
      <c r="N92">
        <f t="shared" si="8"/>
        <v>0</v>
      </c>
      <c r="O92">
        <f t="shared" si="9"/>
        <v>24</v>
      </c>
      <c r="P92">
        <f t="shared" si="10"/>
        <v>0</v>
      </c>
      <c r="Q92">
        <f t="shared" si="11"/>
        <v>670</v>
      </c>
      <c r="R92">
        <f t="shared" si="12"/>
        <v>6.7</v>
      </c>
      <c r="S92">
        <f t="shared" si="13"/>
        <v>663.3</v>
      </c>
      <c r="T92" t="s">
        <v>25</v>
      </c>
    </row>
    <row r="93" spans="1:20">
      <c r="A93" s="4">
        <v>2486469</v>
      </c>
      <c r="B93" s="5">
        <v>45510</v>
      </c>
      <c r="C93" s="4" t="s">
        <v>59</v>
      </c>
      <c r="D93" s="4" t="s">
        <v>27</v>
      </c>
      <c r="E93" s="4" t="s">
        <v>24</v>
      </c>
      <c r="F93" s="4">
        <v>31</v>
      </c>
      <c r="G93" s="4">
        <v>0</v>
      </c>
      <c r="H93" s="4">
        <v>4</v>
      </c>
      <c r="I93" s="4">
        <v>0</v>
      </c>
      <c r="J93">
        <v>17</v>
      </c>
      <c r="K93">
        <v>22</v>
      </c>
      <c r="L93">
        <v>8</v>
      </c>
      <c r="M93">
        <f t="shared" si="7"/>
        <v>527</v>
      </c>
      <c r="N93">
        <f t="shared" si="8"/>
        <v>0</v>
      </c>
      <c r="O93">
        <f t="shared" si="9"/>
        <v>32</v>
      </c>
      <c r="P93">
        <f t="shared" si="10"/>
        <v>0</v>
      </c>
      <c r="Q93">
        <f t="shared" si="11"/>
        <v>559</v>
      </c>
      <c r="R93">
        <f t="shared" si="12"/>
        <v>5.59</v>
      </c>
      <c r="S93">
        <f t="shared" si="13"/>
        <v>553.41</v>
      </c>
      <c r="T93" t="s">
        <v>25</v>
      </c>
    </row>
    <row r="94" spans="1:20">
      <c r="A94" s="4">
        <v>2486469</v>
      </c>
      <c r="B94" s="5">
        <v>45511</v>
      </c>
      <c r="C94" s="4" t="s">
        <v>59</v>
      </c>
      <c r="D94" s="4" t="s">
        <v>27</v>
      </c>
      <c r="E94" s="4" t="s">
        <v>24</v>
      </c>
      <c r="F94" s="4">
        <v>38</v>
      </c>
      <c r="G94" s="4">
        <v>0</v>
      </c>
      <c r="H94" s="4">
        <v>4</v>
      </c>
      <c r="I94" s="4">
        <v>0</v>
      </c>
      <c r="J94">
        <v>17</v>
      </c>
      <c r="K94">
        <v>22</v>
      </c>
      <c r="L94">
        <v>8</v>
      </c>
      <c r="M94">
        <f t="shared" si="7"/>
        <v>646</v>
      </c>
      <c r="N94">
        <f t="shared" si="8"/>
        <v>0</v>
      </c>
      <c r="O94">
        <f t="shared" si="9"/>
        <v>32</v>
      </c>
      <c r="P94">
        <f t="shared" si="10"/>
        <v>0</v>
      </c>
      <c r="Q94">
        <f t="shared" si="11"/>
        <v>678</v>
      </c>
      <c r="R94">
        <f t="shared" si="12"/>
        <v>6.78</v>
      </c>
      <c r="S94">
        <f t="shared" si="13"/>
        <v>671.22</v>
      </c>
      <c r="T94" t="s">
        <v>25</v>
      </c>
    </row>
    <row r="95" spans="1:20">
      <c r="A95" s="4">
        <v>2486469</v>
      </c>
      <c r="B95" s="5">
        <v>45512</v>
      </c>
      <c r="C95" s="4" t="s">
        <v>59</v>
      </c>
      <c r="D95" s="4" t="s">
        <v>27</v>
      </c>
      <c r="E95" s="4" t="s">
        <v>24</v>
      </c>
      <c r="F95" s="4">
        <v>17</v>
      </c>
      <c r="G95" s="4">
        <v>0</v>
      </c>
      <c r="H95" s="4">
        <v>2</v>
      </c>
      <c r="I95" s="4">
        <v>0</v>
      </c>
      <c r="J95">
        <v>17</v>
      </c>
      <c r="K95">
        <v>22</v>
      </c>
      <c r="L95">
        <v>8</v>
      </c>
      <c r="M95">
        <f t="shared" si="7"/>
        <v>289</v>
      </c>
      <c r="N95">
        <f t="shared" si="8"/>
        <v>0</v>
      </c>
      <c r="O95">
        <f t="shared" si="9"/>
        <v>16</v>
      </c>
      <c r="P95">
        <f t="shared" si="10"/>
        <v>0</v>
      </c>
      <c r="Q95">
        <f t="shared" si="11"/>
        <v>305</v>
      </c>
      <c r="R95">
        <f t="shared" si="12"/>
        <v>3.05</v>
      </c>
      <c r="S95">
        <f t="shared" si="13"/>
        <v>301.95</v>
      </c>
      <c r="T95" t="s">
        <v>25</v>
      </c>
    </row>
    <row r="96" spans="1:20">
      <c r="A96" s="4">
        <v>2486469</v>
      </c>
      <c r="B96" s="5">
        <v>45513</v>
      </c>
      <c r="C96" s="4" t="s">
        <v>59</v>
      </c>
      <c r="D96" s="4" t="s">
        <v>27</v>
      </c>
      <c r="E96" s="4" t="s">
        <v>24</v>
      </c>
      <c r="F96" s="4">
        <v>19</v>
      </c>
      <c r="G96" s="4">
        <v>0</v>
      </c>
      <c r="H96" s="4">
        <v>2</v>
      </c>
      <c r="I96" s="4">
        <v>0</v>
      </c>
      <c r="J96">
        <v>17</v>
      </c>
      <c r="K96">
        <v>22</v>
      </c>
      <c r="L96">
        <v>8</v>
      </c>
      <c r="M96">
        <f t="shared" si="7"/>
        <v>323</v>
      </c>
      <c r="N96">
        <f t="shared" si="8"/>
        <v>0</v>
      </c>
      <c r="O96">
        <f t="shared" si="9"/>
        <v>16</v>
      </c>
      <c r="P96">
        <f t="shared" si="10"/>
        <v>0</v>
      </c>
      <c r="Q96">
        <f t="shared" si="11"/>
        <v>339</v>
      </c>
      <c r="R96">
        <f t="shared" si="12"/>
        <v>3.39</v>
      </c>
      <c r="S96">
        <f t="shared" si="13"/>
        <v>335.61</v>
      </c>
      <c r="T96" t="s">
        <v>25</v>
      </c>
    </row>
    <row r="97" spans="1:20">
      <c r="A97" s="4">
        <v>2523452</v>
      </c>
      <c r="B97" s="5">
        <v>45513</v>
      </c>
      <c r="C97" s="4" t="s">
        <v>60</v>
      </c>
      <c r="D97" s="4" t="s">
        <v>47</v>
      </c>
      <c r="E97" s="4" t="s">
        <v>24</v>
      </c>
      <c r="F97" s="4">
        <v>21</v>
      </c>
      <c r="G97" s="4">
        <v>0</v>
      </c>
      <c r="H97" s="4">
        <v>1</v>
      </c>
      <c r="I97" s="4">
        <v>0</v>
      </c>
      <c r="J97">
        <v>17</v>
      </c>
      <c r="K97">
        <v>22</v>
      </c>
      <c r="L97">
        <v>8</v>
      </c>
      <c r="M97">
        <f t="shared" si="7"/>
        <v>357</v>
      </c>
      <c r="N97">
        <f t="shared" si="8"/>
        <v>0</v>
      </c>
      <c r="O97">
        <f t="shared" si="9"/>
        <v>8</v>
      </c>
      <c r="P97">
        <f t="shared" si="10"/>
        <v>0</v>
      </c>
      <c r="Q97">
        <f t="shared" si="11"/>
        <v>365</v>
      </c>
      <c r="R97">
        <f t="shared" si="12"/>
        <v>3.65</v>
      </c>
      <c r="S97">
        <f t="shared" si="13"/>
        <v>361.35</v>
      </c>
      <c r="T97" t="s">
        <v>25</v>
      </c>
    </row>
    <row r="98" spans="1:20">
      <c r="A98" s="4">
        <v>2523452</v>
      </c>
      <c r="B98" s="5">
        <v>45514</v>
      </c>
      <c r="C98" s="4" t="s">
        <v>60</v>
      </c>
      <c r="D98" s="4" t="s">
        <v>47</v>
      </c>
      <c r="E98" s="4" t="s">
        <v>24</v>
      </c>
      <c r="F98" s="4">
        <v>26</v>
      </c>
      <c r="G98" s="4">
        <v>0</v>
      </c>
      <c r="H98" s="4">
        <v>4</v>
      </c>
      <c r="I98" s="4">
        <v>0</v>
      </c>
      <c r="J98">
        <v>17</v>
      </c>
      <c r="K98">
        <v>22</v>
      </c>
      <c r="L98">
        <v>8</v>
      </c>
      <c r="M98">
        <f t="shared" si="7"/>
        <v>442</v>
      </c>
      <c r="N98">
        <f t="shared" si="8"/>
        <v>0</v>
      </c>
      <c r="O98">
        <f t="shared" si="9"/>
        <v>32</v>
      </c>
      <c r="P98">
        <f t="shared" si="10"/>
        <v>0</v>
      </c>
      <c r="Q98">
        <f t="shared" si="11"/>
        <v>474</v>
      </c>
      <c r="R98">
        <f t="shared" si="12"/>
        <v>4.74</v>
      </c>
      <c r="S98">
        <f t="shared" si="13"/>
        <v>469.26</v>
      </c>
      <c r="T98" t="s">
        <v>25</v>
      </c>
    </row>
    <row r="99" spans="1:20">
      <c r="A99" s="4">
        <v>2523452</v>
      </c>
      <c r="B99" s="5">
        <v>45515</v>
      </c>
      <c r="C99" s="4" t="s">
        <v>60</v>
      </c>
      <c r="D99" s="4" t="s">
        <v>47</v>
      </c>
      <c r="E99" s="4" t="s">
        <v>24</v>
      </c>
      <c r="F99" s="4">
        <v>6</v>
      </c>
      <c r="G99" s="4">
        <v>0</v>
      </c>
      <c r="H99" s="4">
        <v>0</v>
      </c>
      <c r="I99" s="4">
        <v>0</v>
      </c>
      <c r="J99">
        <v>17</v>
      </c>
      <c r="K99">
        <v>22</v>
      </c>
      <c r="L99">
        <v>8</v>
      </c>
      <c r="M99">
        <f t="shared" si="7"/>
        <v>102</v>
      </c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102</v>
      </c>
      <c r="R99">
        <f t="shared" si="12"/>
        <v>1.02</v>
      </c>
      <c r="S99">
        <f t="shared" si="13"/>
        <v>100.98</v>
      </c>
      <c r="T99" t="s">
        <v>25</v>
      </c>
    </row>
    <row r="100" spans="1:20">
      <c r="A100" s="4">
        <v>2887480</v>
      </c>
      <c r="B100" s="5">
        <v>45509</v>
      </c>
      <c r="C100" s="4" t="s">
        <v>61</v>
      </c>
      <c r="D100" s="4" t="s">
        <v>34</v>
      </c>
      <c r="E100" s="4" t="s">
        <v>24</v>
      </c>
      <c r="F100" s="4">
        <v>0</v>
      </c>
      <c r="G100" s="4">
        <v>10</v>
      </c>
      <c r="H100" s="4">
        <v>1</v>
      </c>
      <c r="I100" s="4">
        <v>0</v>
      </c>
      <c r="J100">
        <v>17</v>
      </c>
      <c r="K100">
        <v>22</v>
      </c>
      <c r="L100">
        <v>8</v>
      </c>
      <c r="M100">
        <f t="shared" si="7"/>
        <v>0</v>
      </c>
      <c r="N100">
        <f t="shared" si="8"/>
        <v>220</v>
      </c>
      <c r="O100">
        <f t="shared" si="9"/>
        <v>8</v>
      </c>
      <c r="P100">
        <f t="shared" si="10"/>
        <v>0</v>
      </c>
      <c r="Q100">
        <f t="shared" si="11"/>
        <v>228</v>
      </c>
      <c r="R100">
        <f t="shared" si="12"/>
        <v>2.28</v>
      </c>
      <c r="S100">
        <f t="shared" si="13"/>
        <v>225.72</v>
      </c>
      <c r="T100" t="s">
        <v>25</v>
      </c>
    </row>
    <row r="101" spans="1:20">
      <c r="A101" s="4">
        <v>2887480</v>
      </c>
      <c r="B101" s="5">
        <v>45510</v>
      </c>
      <c r="C101" s="4" t="s">
        <v>61</v>
      </c>
      <c r="D101" s="4" t="s">
        <v>34</v>
      </c>
      <c r="E101" s="4" t="s">
        <v>24</v>
      </c>
      <c r="F101" s="4">
        <v>11</v>
      </c>
      <c r="G101" s="4">
        <v>9</v>
      </c>
      <c r="H101" s="4">
        <v>1</v>
      </c>
      <c r="I101" s="4">
        <v>0</v>
      </c>
      <c r="J101">
        <v>17</v>
      </c>
      <c r="K101">
        <v>22</v>
      </c>
      <c r="L101">
        <v>8</v>
      </c>
      <c r="M101">
        <f t="shared" si="7"/>
        <v>187</v>
      </c>
      <c r="N101">
        <f t="shared" si="8"/>
        <v>198</v>
      </c>
      <c r="O101">
        <f t="shared" si="9"/>
        <v>8</v>
      </c>
      <c r="P101">
        <f t="shared" si="10"/>
        <v>0</v>
      </c>
      <c r="Q101">
        <f t="shared" si="11"/>
        <v>393</v>
      </c>
      <c r="R101">
        <f t="shared" si="12"/>
        <v>3.93</v>
      </c>
      <c r="S101">
        <f t="shared" si="13"/>
        <v>389.07</v>
      </c>
      <c r="T101" t="s">
        <v>25</v>
      </c>
    </row>
    <row r="102" spans="1:20">
      <c r="A102" s="4">
        <v>2887480</v>
      </c>
      <c r="B102" s="5">
        <v>45511</v>
      </c>
      <c r="C102" s="4" t="s">
        <v>61</v>
      </c>
      <c r="D102" s="4" t="s">
        <v>34</v>
      </c>
      <c r="E102" s="4" t="s">
        <v>24</v>
      </c>
      <c r="F102" s="4">
        <v>0</v>
      </c>
      <c r="G102" s="4">
        <v>0</v>
      </c>
      <c r="H102" s="4">
        <v>0</v>
      </c>
      <c r="I102" s="4">
        <v>0</v>
      </c>
      <c r="J102">
        <v>17</v>
      </c>
      <c r="K102">
        <v>22</v>
      </c>
      <c r="L102">
        <v>8</v>
      </c>
      <c r="M102">
        <f t="shared" si="7"/>
        <v>0</v>
      </c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>
        <f t="shared" si="12"/>
        <v>0</v>
      </c>
      <c r="S102">
        <f t="shared" si="13"/>
        <v>0</v>
      </c>
      <c r="T102" t="s">
        <v>25</v>
      </c>
    </row>
    <row r="103" spans="1:20">
      <c r="A103" s="4">
        <v>2887480</v>
      </c>
      <c r="B103" s="5">
        <v>45513</v>
      </c>
      <c r="C103" s="4" t="s">
        <v>61</v>
      </c>
      <c r="D103" s="4" t="s">
        <v>34</v>
      </c>
      <c r="E103" s="4" t="s">
        <v>24</v>
      </c>
      <c r="F103" s="4">
        <v>0</v>
      </c>
      <c r="G103" s="4">
        <v>14</v>
      </c>
      <c r="H103" s="4">
        <v>3</v>
      </c>
      <c r="I103" s="4">
        <v>0</v>
      </c>
      <c r="J103">
        <v>17</v>
      </c>
      <c r="K103">
        <v>22</v>
      </c>
      <c r="L103">
        <v>8</v>
      </c>
      <c r="M103">
        <f t="shared" si="7"/>
        <v>0</v>
      </c>
      <c r="N103">
        <f t="shared" si="8"/>
        <v>308</v>
      </c>
      <c r="O103">
        <f t="shared" si="9"/>
        <v>24</v>
      </c>
      <c r="P103">
        <f t="shared" si="10"/>
        <v>0</v>
      </c>
      <c r="Q103">
        <f t="shared" si="11"/>
        <v>332</v>
      </c>
      <c r="R103">
        <f t="shared" si="12"/>
        <v>3.32</v>
      </c>
      <c r="S103">
        <f t="shared" si="13"/>
        <v>328.68</v>
      </c>
      <c r="T103" t="s">
        <v>25</v>
      </c>
    </row>
    <row r="104" spans="1:20">
      <c r="A104" s="4">
        <v>2887480</v>
      </c>
      <c r="B104" s="5">
        <v>45514</v>
      </c>
      <c r="C104" s="4" t="s">
        <v>61</v>
      </c>
      <c r="D104" s="4" t="s">
        <v>34</v>
      </c>
      <c r="E104" s="4" t="s">
        <v>24</v>
      </c>
      <c r="F104" s="4">
        <v>3</v>
      </c>
      <c r="G104" s="4">
        <v>12</v>
      </c>
      <c r="H104" s="4">
        <v>8</v>
      </c>
      <c r="I104" s="4">
        <v>0</v>
      </c>
      <c r="J104">
        <v>17</v>
      </c>
      <c r="K104">
        <v>22</v>
      </c>
      <c r="L104">
        <v>8</v>
      </c>
      <c r="M104">
        <f t="shared" si="7"/>
        <v>51</v>
      </c>
      <c r="N104">
        <f t="shared" si="8"/>
        <v>264</v>
      </c>
      <c r="O104">
        <f t="shared" si="9"/>
        <v>64</v>
      </c>
      <c r="P104">
        <f t="shared" si="10"/>
        <v>0</v>
      </c>
      <c r="Q104">
        <f t="shared" si="11"/>
        <v>379</v>
      </c>
      <c r="R104">
        <f t="shared" si="12"/>
        <v>3.79</v>
      </c>
      <c r="S104">
        <f t="shared" si="13"/>
        <v>375.21</v>
      </c>
      <c r="T104" t="s">
        <v>25</v>
      </c>
    </row>
    <row r="105" spans="1:20">
      <c r="A105" s="4">
        <v>2981873</v>
      </c>
      <c r="B105" s="5">
        <v>45509</v>
      </c>
      <c r="C105" s="4" t="s">
        <v>62</v>
      </c>
      <c r="D105" s="4" t="s">
        <v>63</v>
      </c>
      <c r="E105" s="4" t="s">
        <v>24</v>
      </c>
      <c r="F105" s="4">
        <v>0</v>
      </c>
      <c r="G105" s="4">
        <v>18</v>
      </c>
      <c r="H105" s="4">
        <v>1</v>
      </c>
      <c r="I105" s="4">
        <v>0</v>
      </c>
      <c r="J105">
        <v>17</v>
      </c>
      <c r="K105">
        <v>22</v>
      </c>
      <c r="L105">
        <v>8</v>
      </c>
      <c r="M105">
        <f t="shared" si="7"/>
        <v>0</v>
      </c>
      <c r="N105">
        <f t="shared" si="8"/>
        <v>396</v>
      </c>
      <c r="O105">
        <f t="shared" si="9"/>
        <v>8</v>
      </c>
      <c r="P105">
        <f t="shared" si="10"/>
        <v>0</v>
      </c>
      <c r="Q105">
        <f t="shared" si="11"/>
        <v>404</v>
      </c>
      <c r="R105">
        <f t="shared" si="12"/>
        <v>4.04</v>
      </c>
      <c r="S105">
        <f t="shared" si="13"/>
        <v>399.96</v>
      </c>
      <c r="T105" t="s">
        <v>25</v>
      </c>
    </row>
    <row r="106" spans="1:20">
      <c r="A106" s="4">
        <v>2981873</v>
      </c>
      <c r="B106" s="5">
        <v>45510</v>
      </c>
      <c r="C106" s="4" t="s">
        <v>62</v>
      </c>
      <c r="D106" s="4" t="s">
        <v>63</v>
      </c>
      <c r="E106" s="4" t="s">
        <v>24</v>
      </c>
      <c r="F106" s="4">
        <v>0</v>
      </c>
      <c r="G106" s="4">
        <v>11</v>
      </c>
      <c r="H106" s="4">
        <v>0</v>
      </c>
      <c r="I106" s="4">
        <v>0</v>
      </c>
      <c r="J106">
        <v>17</v>
      </c>
      <c r="K106">
        <v>22</v>
      </c>
      <c r="L106">
        <v>8</v>
      </c>
      <c r="M106">
        <f t="shared" si="7"/>
        <v>0</v>
      </c>
      <c r="N106">
        <f t="shared" si="8"/>
        <v>242</v>
      </c>
      <c r="O106">
        <f t="shared" si="9"/>
        <v>0</v>
      </c>
      <c r="P106">
        <f t="shared" si="10"/>
        <v>0</v>
      </c>
      <c r="Q106">
        <f t="shared" si="11"/>
        <v>242</v>
      </c>
      <c r="R106">
        <f t="shared" si="12"/>
        <v>2.42</v>
      </c>
      <c r="S106">
        <f t="shared" si="13"/>
        <v>239.58</v>
      </c>
      <c r="T106" t="s">
        <v>25</v>
      </c>
    </row>
    <row r="107" spans="1:20">
      <c r="A107" s="4">
        <v>2981873</v>
      </c>
      <c r="B107" s="5">
        <v>45511</v>
      </c>
      <c r="C107" s="4" t="s">
        <v>62</v>
      </c>
      <c r="D107" s="4" t="s">
        <v>63</v>
      </c>
      <c r="E107" s="4" t="s">
        <v>24</v>
      </c>
      <c r="F107" s="4">
        <v>0</v>
      </c>
      <c r="G107" s="4">
        <v>0</v>
      </c>
      <c r="H107" s="4">
        <v>0</v>
      </c>
      <c r="I107" s="4">
        <v>0</v>
      </c>
      <c r="J107">
        <v>17</v>
      </c>
      <c r="K107">
        <v>22</v>
      </c>
      <c r="L107">
        <v>8</v>
      </c>
      <c r="M107">
        <f t="shared" si="7"/>
        <v>0</v>
      </c>
      <c r="N107">
        <f t="shared" si="8"/>
        <v>0</v>
      </c>
      <c r="O107">
        <f t="shared" si="9"/>
        <v>0</v>
      </c>
      <c r="P107">
        <f t="shared" si="10"/>
        <v>0</v>
      </c>
      <c r="Q107">
        <f t="shared" si="11"/>
        <v>0</v>
      </c>
      <c r="R107">
        <f t="shared" si="12"/>
        <v>0</v>
      </c>
      <c r="S107">
        <f t="shared" si="13"/>
        <v>0</v>
      </c>
      <c r="T107" t="s">
        <v>25</v>
      </c>
    </row>
    <row r="108" spans="1:20">
      <c r="A108" s="4">
        <v>2981873</v>
      </c>
      <c r="B108" s="5">
        <v>45512</v>
      </c>
      <c r="C108" s="4" t="s">
        <v>62</v>
      </c>
      <c r="D108" s="4" t="s">
        <v>63</v>
      </c>
      <c r="E108" s="4" t="s">
        <v>24</v>
      </c>
      <c r="F108" s="4">
        <v>0</v>
      </c>
      <c r="G108" s="4">
        <v>8</v>
      </c>
      <c r="H108" s="4">
        <v>5</v>
      </c>
      <c r="I108" s="4">
        <v>0</v>
      </c>
      <c r="J108">
        <v>17</v>
      </c>
      <c r="K108">
        <v>22</v>
      </c>
      <c r="L108">
        <v>8</v>
      </c>
      <c r="M108">
        <f t="shared" si="7"/>
        <v>0</v>
      </c>
      <c r="N108">
        <f t="shared" si="8"/>
        <v>176</v>
      </c>
      <c r="O108">
        <f t="shared" si="9"/>
        <v>40</v>
      </c>
      <c r="P108">
        <f t="shared" si="10"/>
        <v>0</v>
      </c>
      <c r="Q108">
        <f t="shared" si="11"/>
        <v>216</v>
      </c>
      <c r="R108">
        <f t="shared" si="12"/>
        <v>2.16</v>
      </c>
      <c r="S108">
        <f t="shared" si="13"/>
        <v>213.84</v>
      </c>
      <c r="T108" t="s">
        <v>25</v>
      </c>
    </row>
    <row r="109" spans="1:20">
      <c r="A109" s="4">
        <v>2981873</v>
      </c>
      <c r="B109" s="5">
        <v>45513</v>
      </c>
      <c r="C109" s="4" t="s">
        <v>62</v>
      </c>
      <c r="D109" s="4" t="s">
        <v>63</v>
      </c>
      <c r="E109" s="4" t="s">
        <v>24</v>
      </c>
      <c r="F109" s="4">
        <v>0</v>
      </c>
      <c r="G109" s="4">
        <v>0</v>
      </c>
      <c r="H109" s="4">
        <v>0</v>
      </c>
      <c r="I109" s="4">
        <v>0</v>
      </c>
      <c r="J109">
        <v>17</v>
      </c>
      <c r="K109">
        <v>22</v>
      </c>
      <c r="L109">
        <v>8</v>
      </c>
      <c r="M109">
        <f t="shared" si="7"/>
        <v>0</v>
      </c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>
        <f t="shared" si="12"/>
        <v>0</v>
      </c>
      <c r="S109">
        <f t="shared" si="13"/>
        <v>0</v>
      </c>
      <c r="T109" t="s">
        <v>25</v>
      </c>
    </row>
    <row r="110" spans="1:20">
      <c r="A110" s="4">
        <v>2981873</v>
      </c>
      <c r="B110" s="5">
        <v>45514</v>
      </c>
      <c r="C110" s="4" t="s">
        <v>62</v>
      </c>
      <c r="D110" s="4" t="s">
        <v>63</v>
      </c>
      <c r="E110" s="4" t="s">
        <v>24</v>
      </c>
      <c r="F110" s="4">
        <v>0</v>
      </c>
      <c r="G110" s="4">
        <v>4</v>
      </c>
      <c r="H110" s="4">
        <v>0</v>
      </c>
      <c r="I110" s="4">
        <v>0</v>
      </c>
      <c r="J110">
        <v>17</v>
      </c>
      <c r="K110">
        <v>22</v>
      </c>
      <c r="L110">
        <v>8</v>
      </c>
      <c r="M110">
        <f t="shared" si="7"/>
        <v>0</v>
      </c>
      <c r="N110">
        <f t="shared" si="8"/>
        <v>88</v>
      </c>
      <c r="O110">
        <f t="shared" si="9"/>
        <v>0</v>
      </c>
      <c r="P110">
        <f t="shared" si="10"/>
        <v>0</v>
      </c>
      <c r="Q110">
        <f t="shared" si="11"/>
        <v>88</v>
      </c>
      <c r="R110">
        <f t="shared" si="12"/>
        <v>0.88</v>
      </c>
      <c r="S110">
        <f t="shared" si="13"/>
        <v>87.12</v>
      </c>
      <c r="T110" t="s">
        <v>25</v>
      </c>
    </row>
    <row r="111" spans="1:20">
      <c r="A111" s="4">
        <v>3019264</v>
      </c>
      <c r="B111" s="5">
        <v>45509</v>
      </c>
      <c r="C111" s="4" t="s">
        <v>64</v>
      </c>
      <c r="D111" s="4" t="s">
        <v>65</v>
      </c>
      <c r="E111" s="4" t="s">
        <v>24</v>
      </c>
      <c r="F111" s="4">
        <v>2</v>
      </c>
      <c r="G111" s="4">
        <v>24</v>
      </c>
      <c r="H111" s="4">
        <v>2</v>
      </c>
      <c r="I111" s="4">
        <v>0</v>
      </c>
      <c r="J111">
        <v>17</v>
      </c>
      <c r="K111">
        <v>22</v>
      </c>
      <c r="L111">
        <v>8</v>
      </c>
      <c r="M111">
        <f t="shared" si="7"/>
        <v>34</v>
      </c>
      <c r="N111">
        <f t="shared" si="8"/>
        <v>528</v>
      </c>
      <c r="O111">
        <f t="shared" si="9"/>
        <v>16</v>
      </c>
      <c r="P111">
        <f t="shared" si="10"/>
        <v>0</v>
      </c>
      <c r="Q111">
        <f t="shared" si="11"/>
        <v>578</v>
      </c>
      <c r="R111">
        <f t="shared" si="12"/>
        <v>5.78</v>
      </c>
      <c r="S111">
        <f t="shared" si="13"/>
        <v>572.22</v>
      </c>
      <c r="T111" t="s">
        <v>25</v>
      </c>
    </row>
    <row r="112" spans="1:20">
      <c r="A112" s="4">
        <v>3019264</v>
      </c>
      <c r="B112" s="5">
        <v>45510</v>
      </c>
      <c r="C112" s="4" t="s">
        <v>64</v>
      </c>
      <c r="D112" s="4" t="s">
        <v>65</v>
      </c>
      <c r="E112" s="4" t="s">
        <v>24</v>
      </c>
      <c r="F112" s="4">
        <v>2</v>
      </c>
      <c r="G112" s="4">
        <v>27</v>
      </c>
      <c r="H112" s="4">
        <v>9</v>
      </c>
      <c r="I112" s="4">
        <v>0</v>
      </c>
      <c r="J112">
        <v>17</v>
      </c>
      <c r="K112">
        <v>22</v>
      </c>
      <c r="L112">
        <v>8</v>
      </c>
      <c r="M112">
        <f t="shared" si="7"/>
        <v>34</v>
      </c>
      <c r="N112">
        <f t="shared" si="8"/>
        <v>594</v>
      </c>
      <c r="O112">
        <f t="shared" si="9"/>
        <v>72</v>
      </c>
      <c r="P112">
        <f t="shared" si="10"/>
        <v>0</v>
      </c>
      <c r="Q112">
        <f t="shared" si="11"/>
        <v>700</v>
      </c>
      <c r="R112">
        <f t="shared" si="12"/>
        <v>7</v>
      </c>
      <c r="S112">
        <f t="shared" si="13"/>
        <v>693</v>
      </c>
      <c r="T112" t="s">
        <v>25</v>
      </c>
    </row>
    <row r="113" spans="1:20">
      <c r="A113" s="4">
        <v>3019264</v>
      </c>
      <c r="B113" s="5">
        <v>45514</v>
      </c>
      <c r="C113" s="4" t="s">
        <v>64</v>
      </c>
      <c r="D113" s="4" t="s">
        <v>65</v>
      </c>
      <c r="E113" s="4" t="s">
        <v>24</v>
      </c>
      <c r="F113" s="4">
        <v>0</v>
      </c>
      <c r="G113" s="4">
        <v>12</v>
      </c>
      <c r="H113" s="4">
        <v>9</v>
      </c>
      <c r="I113" s="4">
        <v>0</v>
      </c>
      <c r="J113">
        <v>17</v>
      </c>
      <c r="K113">
        <v>22</v>
      </c>
      <c r="L113">
        <v>8</v>
      </c>
      <c r="M113">
        <f t="shared" si="7"/>
        <v>0</v>
      </c>
      <c r="N113">
        <f t="shared" si="8"/>
        <v>264</v>
      </c>
      <c r="O113">
        <f t="shared" si="9"/>
        <v>72</v>
      </c>
      <c r="P113">
        <f t="shared" si="10"/>
        <v>0</v>
      </c>
      <c r="Q113">
        <f t="shared" si="11"/>
        <v>336</v>
      </c>
      <c r="R113">
        <f t="shared" si="12"/>
        <v>3.36</v>
      </c>
      <c r="S113">
        <f t="shared" si="13"/>
        <v>332.64</v>
      </c>
      <c r="T113" t="s">
        <v>25</v>
      </c>
    </row>
    <row r="114" spans="1:20">
      <c r="A114" s="4">
        <v>3285303</v>
      </c>
      <c r="B114" s="5">
        <v>45510</v>
      </c>
      <c r="C114" s="4" t="s">
        <v>66</v>
      </c>
      <c r="D114" s="4" t="s">
        <v>67</v>
      </c>
      <c r="E114" s="4" t="s">
        <v>24</v>
      </c>
      <c r="F114" s="4">
        <v>79</v>
      </c>
      <c r="G114" s="4">
        <v>3</v>
      </c>
      <c r="H114" s="4">
        <v>15</v>
      </c>
      <c r="I114" s="4">
        <v>0</v>
      </c>
      <c r="J114">
        <v>18</v>
      </c>
      <c r="K114">
        <v>22</v>
      </c>
      <c r="L114">
        <v>8</v>
      </c>
      <c r="M114">
        <f t="shared" si="7"/>
        <v>1422</v>
      </c>
      <c r="N114">
        <f t="shared" si="8"/>
        <v>66</v>
      </c>
      <c r="O114">
        <f t="shared" si="9"/>
        <v>120</v>
      </c>
      <c r="P114">
        <f t="shared" si="10"/>
        <v>0</v>
      </c>
      <c r="Q114">
        <f t="shared" si="11"/>
        <v>1608</v>
      </c>
      <c r="R114">
        <f t="shared" si="12"/>
        <v>16.08</v>
      </c>
      <c r="S114">
        <f t="shared" si="13"/>
        <v>1591.92</v>
      </c>
      <c r="T114" t="s">
        <v>25</v>
      </c>
    </row>
    <row r="115" spans="1:20">
      <c r="A115" s="4">
        <v>3285303</v>
      </c>
      <c r="B115" s="5">
        <v>45511</v>
      </c>
      <c r="C115" s="4" t="s">
        <v>66</v>
      </c>
      <c r="D115" s="4" t="s">
        <v>67</v>
      </c>
      <c r="E115" s="4" t="s">
        <v>24</v>
      </c>
      <c r="F115" s="4">
        <v>69</v>
      </c>
      <c r="G115" s="4">
        <v>7</v>
      </c>
      <c r="H115" s="4">
        <v>14</v>
      </c>
      <c r="I115" s="4">
        <v>0</v>
      </c>
      <c r="J115">
        <v>18</v>
      </c>
      <c r="K115">
        <v>22</v>
      </c>
      <c r="L115">
        <v>8</v>
      </c>
      <c r="M115">
        <f t="shared" si="7"/>
        <v>1242</v>
      </c>
      <c r="N115">
        <f t="shared" si="8"/>
        <v>154</v>
      </c>
      <c r="O115">
        <f t="shared" si="9"/>
        <v>112</v>
      </c>
      <c r="P115">
        <f t="shared" si="10"/>
        <v>0</v>
      </c>
      <c r="Q115">
        <f t="shared" si="11"/>
        <v>1508</v>
      </c>
      <c r="R115">
        <f t="shared" si="12"/>
        <v>15.08</v>
      </c>
      <c r="S115">
        <f t="shared" si="13"/>
        <v>1492.92</v>
      </c>
      <c r="T115" t="s">
        <v>25</v>
      </c>
    </row>
    <row r="116" spans="1:20">
      <c r="A116" s="4">
        <v>3285303</v>
      </c>
      <c r="B116" s="5">
        <v>45512</v>
      </c>
      <c r="C116" s="4" t="s">
        <v>66</v>
      </c>
      <c r="D116" s="4" t="s">
        <v>67</v>
      </c>
      <c r="E116" s="4" t="s">
        <v>24</v>
      </c>
      <c r="F116" s="4">
        <v>87</v>
      </c>
      <c r="G116" s="4">
        <v>1</v>
      </c>
      <c r="H116" s="4">
        <v>12</v>
      </c>
      <c r="I116" s="4">
        <v>0</v>
      </c>
      <c r="J116">
        <v>18</v>
      </c>
      <c r="K116">
        <v>22</v>
      </c>
      <c r="L116">
        <v>8</v>
      </c>
      <c r="M116">
        <f t="shared" si="7"/>
        <v>1566</v>
      </c>
      <c r="N116">
        <f t="shared" si="8"/>
        <v>22</v>
      </c>
      <c r="O116">
        <f t="shared" si="9"/>
        <v>96</v>
      </c>
      <c r="P116">
        <f t="shared" si="10"/>
        <v>0</v>
      </c>
      <c r="Q116">
        <f t="shared" si="11"/>
        <v>1684</v>
      </c>
      <c r="R116">
        <f t="shared" si="12"/>
        <v>16.84</v>
      </c>
      <c r="S116">
        <f t="shared" si="13"/>
        <v>1667.16</v>
      </c>
      <c r="T116" t="s">
        <v>25</v>
      </c>
    </row>
    <row r="117" spans="1:20">
      <c r="A117" s="4">
        <v>3285303</v>
      </c>
      <c r="B117" s="5">
        <v>45513</v>
      </c>
      <c r="C117" s="4" t="s">
        <v>66</v>
      </c>
      <c r="D117" s="4" t="s">
        <v>67</v>
      </c>
      <c r="E117" s="4" t="s">
        <v>24</v>
      </c>
      <c r="F117" s="4">
        <v>72</v>
      </c>
      <c r="G117" s="4">
        <v>1</v>
      </c>
      <c r="H117" s="4">
        <v>23</v>
      </c>
      <c r="I117" s="4">
        <v>0</v>
      </c>
      <c r="J117">
        <v>18</v>
      </c>
      <c r="K117">
        <v>22</v>
      </c>
      <c r="L117">
        <v>8</v>
      </c>
      <c r="M117">
        <f t="shared" si="7"/>
        <v>1296</v>
      </c>
      <c r="N117">
        <f t="shared" si="8"/>
        <v>22</v>
      </c>
      <c r="O117">
        <f t="shared" si="9"/>
        <v>184</v>
      </c>
      <c r="P117">
        <f t="shared" si="10"/>
        <v>0</v>
      </c>
      <c r="Q117">
        <f t="shared" si="11"/>
        <v>1502</v>
      </c>
      <c r="R117">
        <f t="shared" si="12"/>
        <v>15.02</v>
      </c>
      <c r="S117">
        <f t="shared" si="13"/>
        <v>1486.98</v>
      </c>
      <c r="T117" t="s">
        <v>25</v>
      </c>
    </row>
    <row r="118" spans="1:20">
      <c r="A118" s="4">
        <v>3285303</v>
      </c>
      <c r="B118" s="5">
        <v>45515</v>
      </c>
      <c r="C118" s="4" t="s">
        <v>66</v>
      </c>
      <c r="D118" s="4" t="s">
        <v>67</v>
      </c>
      <c r="E118" s="4" t="s">
        <v>24</v>
      </c>
      <c r="F118" s="4">
        <v>59</v>
      </c>
      <c r="G118" s="4">
        <v>0</v>
      </c>
      <c r="H118" s="4">
        <v>9</v>
      </c>
      <c r="I118" s="4">
        <v>0</v>
      </c>
      <c r="J118">
        <v>18</v>
      </c>
      <c r="K118">
        <v>22</v>
      </c>
      <c r="L118">
        <v>8</v>
      </c>
      <c r="M118">
        <f t="shared" si="7"/>
        <v>1062</v>
      </c>
      <c r="N118">
        <f t="shared" si="8"/>
        <v>0</v>
      </c>
      <c r="O118">
        <f t="shared" si="9"/>
        <v>72</v>
      </c>
      <c r="P118">
        <f t="shared" si="10"/>
        <v>0</v>
      </c>
      <c r="Q118">
        <f t="shared" si="11"/>
        <v>1134</v>
      </c>
      <c r="R118">
        <f t="shared" si="12"/>
        <v>11.34</v>
      </c>
      <c r="S118">
        <f t="shared" si="13"/>
        <v>1122.66</v>
      </c>
      <c r="T118" t="s">
        <v>25</v>
      </c>
    </row>
    <row r="119" spans="1:20">
      <c r="A119" s="4">
        <v>3439656</v>
      </c>
      <c r="B119" s="5">
        <v>45509</v>
      </c>
      <c r="C119" s="4" t="s">
        <v>68</v>
      </c>
      <c r="D119" s="4" t="s">
        <v>39</v>
      </c>
      <c r="E119" s="4" t="s">
        <v>24</v>
      </c>
      <c r="F119" s="4">
        <v>26</v>
      </c>
      <c r="G119" s="4">
        <v>0</v>
      </c>
      <c r="H119" s="4">
        <v>0</v>
      </c>
      <c r="I119" s="4">
        <v>0</v>
      </c>
      <c r="J119">
        <v>17</v>
      </c>
      <c r="K119">
        <v>22</v>
      </c>
      <c r="L119">
        <v>8</v>
      </c>
      <c r="M119">
        <f t="shared" si="7"/>
        <v>442</v>
      </c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442</v>
      </c>
      <c r="R119">
        <f t="shared" si="12"/>
        <v>4.42</v>
      </c>
      <c r="S119">
        <f t="shared" si="13"/>
        <v>437.58</v>
      </c>
      <c r="T119" t="s">
        <v>25</v>
      </c>
    </row>
    <row r="120" spans="1:20">
      <c r="A120" s="4">
        <v>3439656</v>
      </c>
      <c r="B120" s="5">
        <v>45510</v>
      </c>
      <c r="C120" s="4" t="s">
        <v>68</v>
      </c>
      <c r="D120" s="4" t="s">
        <v>39</v>
      </c>
      <c r="E120" s="4" t="s">
        <v>24</v>
      </c>
      <c r="F120" s="4">
        <v>24</v>
      </c>
      <c r="G120" s="4">
        <v>0</v>
      </c>
      <c r="H120" s="4">
        <v>3</v>
      </c>
      <c r="I120" s="4">
        <v>0</v>
      </c>
      <c r="J120">
        <v>17</v>
      </c>
      <c r="K120">
        <v>22</v>
      </c>
      <c r="L120">
        <v>8</v>
      </c>
      <c r="M120">
        <f t="shared" si="7"/>
        <v>408</v>
      </c>
      <c r="N120">
        <f t="shared" si="8"/>
        <v>0</v>
      </c>
      <c r="O120">
        <f t="shared" si="9"/>
        <v>24</v>
      </c>
      <c r="P120">
        <f t="shared" si="10"/>
        <v>0</v>
      </c>
      <c r="Q120">
        <f t="shared" si="11"/>
        <v>432</v>
      </c>
      <c r="R120">
        <f t="shared" si="12"/>
        <v>4.32</v>
      </c>
      <c r="S120">
        <f t="shared" si="13"/>
        <v>427.68</v>
      </c>
      <c r="T120" t="s">
        <v>25</v>
      </c>
    </row>
    <row r="121" spans="1:20">
      <c r="A121" s="4">
        <v>3439656</v>
      </c>
      <c r="B121" s="5">
        <v>45511</v>
      </c>
      <c r="C121" s="4" t="s">
        <v>68</v>
      </c>
      <c r="D121" s="4" t="s">
        <v>39</v>
      </c>
      <c r="E121" s="4" t="s">
        <v>24</v>
      </c>
      <c r="F121" s="4">
        <v>29</v>
      </c>
      <c r="G121" s="4">
        <v>0</v>
      </c>
      <c r="H121" s="4">
        <v>4</v>
      </c>
      <c r="I121" s="4">
        <v>0</v>
      </c>
      <c r="J121">
        <v>17</v>
      </c>
      <c r="K121">
        <v>22</v>
      </c>
      <c r="L121">
        <v>8</v>
      </c>
      <c r="M121">
        <f t="shared" si="7"/>
        <v>493</v>
      </c>
      <c r="N121">
        <f t="shared" si="8"/>
        <v>0</v>
      </c>
      <c r="O121">
        <f t="shared" si="9"/>
        <v>32</v>
      </c>
      <c r="P121">
        <f t="shared" si="10"/>
        <v>0</v>
      </c>
      <c r="Q121">
        <f t="shared" si="11"/>
        <v>525</v>
      </c>
      <c r="R121">
        <f t="shared" si="12"/>
        <v>5.25</v>
      </c>
      <c r="S121">
        <f t="shared" si="13"/>
        <v>519.75</v>
      </c>
      <c r="T121" t="s">
        <v>25</v>
      </c>
    </row>
    <row r="122" spans="1:20">
      <c r="A122" s="4">
        <v>3471879</v>
      </c>
      <c r="B122" s="5">
        <v>45509</v>
      </c>
      <c r="C122" s="4" t="s">
        <v>69</v>
      </c>
      <c r="D122" s="4" t="s">
        <v>34</v>
      </c>
      <c r="E122" s="4" t="s">
        <v>24</v>
      </c>
      <c r="F122" s="4">
        <v>47</v>
      </c>
      <c r="G122" s="4">
        <v>30</v>
      </c>
      <c r="H122" s="4">
        <v>7</v>
      </c>
      <c r="I122" s="4">
        <v>0</v>
      </c>
      <c r="J122">
        <v>17</v>
      </c>
      <c r="K122">
        <v>22</v>
      </c>
      <c r="L122">
        <v>8</v>
      </c>
      <c r="M122">
        <f t="shared" si="7"/>
        <v>799</v>
      </c>
      <c r="N122">
        <f t="shared" si="8"/>
        <v>660</v>
      </c>
      <c r="O122">
        <f t="shared" si="9"/>
        <v>56</v>
      </c>
      <c r="P122">
        <f t="shared" si="10"/>
        <v>0</v>
      </c>
      <c r="Q122">
        <f t="shared" si="11"/>
        <v>1515</v>
      </c>
      <c r="R122">
        <f t="shared" si="12"/>
        <v>15.15</v>
      </c>
      <c r="S122">
        <f t="shared" si="13"/>
        <v>1499.85</v>
      </c>
      <c r="T122" t="s">
        <v>25</v>
      </c>
    </row>
    <row r="123" spans="1:20">
      <c r="A123" s="4">
        <v>3471879</v>
      </c>
      <c r="B123" s="5">
        <v>45510</v>
      </c>
      <c r="C123" s="4" t="s">
        <v>69</v>
      </c>
      <c r="D123" s="4" t="s">
        <v>34</v>
      </c>
      <c r="E123" s="4" t="s">
        <v>24</v>
      </c>
      <c r="F123" s="4">
        <v>0</v>
      </c>
      <c r="G123" s="4">
        <v>30</v>
      </c>
      <c r="H123" s="4">
        <v>0</v>
      </c>
      <c r="I123" s="4">
        <v>0</v>
      </c>
      <c r="J123">
        <v>17</v>
      </c>
      <c r="K123">
        <v>22</v>
      </c>
      <c r="L123">
        <v>8</v>
      </c>
      <c r="M123">
        <f t="shared" si="7"/>
        <v>0</v>
      </c>
      <c r="N123">
        <f t="shared" si="8"/>
        <v>660</v>
      </c>
      <c r="O123">
        <f t="shared" si="9"/>
        <v>0</v>
      </c>
      <c r="P123">
        <f t="shared" si="10"/>
        <v>0</v>
      </c>
      <c r="Q123">
        <f t="shared" si="11"/>
        <v>660</v>
      </c>
      <c r="R123">
        <f t="shared" si="12"/>
        <v>6.6</v>
      </c>
      <c r="S123">
        <f t="shared" si="13"/>
        <v>653.4</v>
      </c>
      <c r="T123" t="s">
        <v>25</v>
      </c>
    </row>
    <row r="124" spans="1:20">
      <c r="A124" s="4">
        <v>3471879</v>
      </c>
      <c r="B124" s="5">
        <v>45512</v>
      </c>
      <c r="C124" s="4" t="s">
        <v>69</v>
      </c>
      <c r="D124" s="4" t="s">
        <v>34</v>
      </c>
      <c r="E124" s="4" t="s">
        <v>24</v>
      </c>
      <c r="F124" s="4">
        <v>42</v>
      </c>
      <c r="G124" s="4">
        <v>19</v>
      </c>
      <c r="H124" s="4">
        <v>10</v>
      </c>
      <c r="I124" s="4">
        <v>0</v>
      </c>
      <c r="J124">
        <v>17</v>
      </c>
      <c r="K124">
        <v>22</v>
      </c>
      <c r="L124">
        <v>8</v>
      </c>
      <c r="M124">
        <f t="shared" si="7"/>
        <v>714</v>
      </c>
      <c r="N124">
        <f t="shared" si="8"/>
        <v>418</v>
      </c>
      <c r="O124">
        <f t="shared" si="9"/>
        <v>80</v>
      </c>
      <c r="P124">
        <f t="shared" si="10"/>
        <v>0</v>
      </c>
      <c r="Q124">
        <f t="shared" si="11"/>
        <v>1212</v>
      </c>
      <c r="R124">
        <f t="shared" si="12"/>
        <v>12.12</v>
      </c>
      <c r="S124">
        <f t="shared" si="13"/>
        <v>1199.88</v>
      </c>
      <c r="T124" t="s">
        <v>25</v>
      </c>
    </row>
    <row r="125" spans="1:20">
      <c r="A125" s="4">
        <v>3471879</v>
      </c>
      <c r="B125" s="5">
        <v>45513</v>
      </c>
      <c r="C125" s="4" t="s">
        <v>69</v>
      </c>
      <c r="D125" s="4" t="s">
        <v>34</v>
      </c>
      <c r="E125" s="4" t="s">
        <v>24</v>
      </c>
      <c r="F125" s="4">
        <v>79</v>
      </c>
      <c r="G125" s="4">
        <v>10</v>
      </c>
      <c r="H125" s="4">
        <v>8</v>
      </c>
      <c r="I125" s="4">
        <v>0</v>
      </c>
      <c r="J125">
        <v>17</v>
      </c>
      <c r="K125">
        <v>22</v>
      </c>
      <c r="L125">
        <v>8</v>
      </c>
      <c r="M125">
        <f t="shared" si="7"/>
        <v>1343</v>
      </c>
      <c r="N125">
        <f t="shared" si="8"/>
        <v>220</v>
      </c>
      <c r="O125">
        <f t="shared" si="9"/>
        <v>64</v>
      </c>
      <c r="P125">
        <f t="shared" si="10"/>
        <v>0</v>
      </c>
      <c r="Q125">
        <f t="shared" si="11"/>
        <v>1627</v>
      </c>
      <c r="R125">
        <f t="shared" si="12"/>
        <v>16.27</v>
      </c>
      <c r="S125">
        <f t="shared" si="13"/>
        <v>1610.73</v>
      </c>
      <c r="T125" t="s">
        <v>25</v>
      </c>
    </row>
    <row r="126" spans="1:20">
      <c r="A126" s="4">
        <v>3471879</v>
      </c>
      <c r="B126" s="5">
        <v>45514</v>
      </c>
      <c r="C126" s="4" t="s">
        <v>69</v>
      </c>
      <c r="D126" s="4" t="s">
        <v>34</v>
      </c>
      <c r="E126" s="4" t="s">
        <v>24</v>
      </c>
      <c r="F126" s="4">
        <v>62</v>
      </c>
      <c r="G126" s="4">
        <v>10</v>
      </c>
      <c r="H126" s="4">
        <v>10</v>
      </c>
      <c r="I126" s="4">
        <v>0</v>
      </c>
      <c r="J126">
        <v>17</v>
      </c>
      <c r="K126">
        <v>22</v>
      </c>
      <c r="L126">
        <v>8</v>
      </c>
      <c r="M126">
        <f t="shared" si="7"/>
        <v>1054</v>
      </c>
      <c r="N126">
        <f t="shared" si="8"/>
        <v>220</v>
      </c>
      <c r="O126">
        <f t="shared" si="9"/>
        <v>80</v>
      </c>
      <c r="P126">
        <f t="shared" si="10"/>
        <v>0</v>
      </c>
      <c r="Q126">
        <f t="shared" si="11"/>
        <v>1354</v>
      </c>
      <c r="R126">
        <f t="shared" si="12"/>
        <v>13.54</v>
      </c>
      <c r="S126">
        <f t="shared" si="13"/>
        <v>1340.46</v>
      </c>
      <c r="T126" t="s">
        <v>25</v>
      </c>
    </row>
    <row r="127" spans="1:20">
      <c r="A127" s="4">
        <v>3471879</v>
      </c>
      <c r="B127" s="5">
        <v>45515</v>
      </c>
      <c r="C127" s="4" t="s">
        <v>69</v>
      </c>
      <c r="D127" s="4" t="s">
        <v>34</v>
      </c>
      <c r="E127" s="4" t="s">
        <v>24</v>
      </c>
      <c r="F127" s="4">
        <v>36</v>
      </c>
      <c r="G127" s="4">
        <v>15</v>
      </c>
      <c r="H127" s="4">
        <v>11</v>
      </c>
      <c r="I127" s="4">
        <v>0</v>
      </c>
      <c r="J127">
        <v>17</v>
      </c>
      <c r="K127">
        <v>22</v>
      </c>
      <c r="L127">
        <v>8</v>
      </c>
      <c r="M127">
        <f t="shared" si="7"/>
        <v>612</v>
      </c>
      <c r="N127">
        <f t="shared" si="8"/>
        <v>330</v>
      </c>
      <c r="O127">
        <f t="shared" si="9"/>
        <v>88</v>
      </c>
      <c r="P127">
        <f t="shared" si="10"/>
        <v>0</v>
      </c>
      <c r="Q127">
        <f t="shared" si="11"/>
        <v>1030</v>
      </c>
      <c r="R127">
        <f t="shared" si="12"/>
        <v>10.3</v>
      </c>
      <c r="S127">
        <f t="shared" si="13"/>
        <v>1019.7</v>
      </c>
      <c r="T127" t="s">
        <v>25</v>
      </c>
    </row>
    <row r="128" spans="1:20">
      <c r="A128" s="4">
        <v>3530069</v>
      </c>
      <c r="B128" s="5">
        <v>45509</v>
      </c>
      <c r="C128" s="4" t="s">
        <v>70</v>
      </c>
      <c r="D128" s="4" t="s">
        <v>34</v>
      </c>
      <c r="E128" s="4" t="s">
        <v>24</v>
      </c>
      <c r="F128" s="4">
        <v>2</v>
      </c>
      <c r="G128" s="4">
        <v>0</v>
      </c>
      <c r="H128" s="4">
        <v>0</v>
      </c>
      <c r="I128" s="4">
        <v>0</v>
      </c>
      <c r="J128">
        <v>17</v>
      </c>
      <c r="K128">
        <v>22</v>
      </c>
      <c r="L128">
        <v>8</v>
      </c>
      <c r="M128">
        <f t="shared" si="7"/>
        <v>34</v>
      </c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34</v>
      </c>
      <c r="R128">
        <f t="shared" si="12"/>
        <v>0.34</v>
      </c>
      <c r="S128">
        <f t="shared" si="13"/>
        <v>33.66</v>
      </c>
      <c r="T128" t="s">
        <v>25</v>
      </c>
    </row>
    <row r="129" spans="1:20">
      <c r="A129" s="4">
        <v>3530069</v>
      </c>
      <c r="B129" s="5">
        <v>45510</v>
      </c>
      <c r="C129" s="4" t="s">
        <v>70</v>
      </c>
      <c r="D129" s="4" t="s">
        <v>34</v>
      </c>
      <c r="E129" s="4" t="s">
        <v>24</v>
      </c>
      <c r="F129" s="4">
        <v>0</v>
      </c>
      <c r="G129" s="4">
        <v>0</v>
      </c>
      <c r="H129" s="4">
        <v>0</v>
      </c>
      <c r="I129" s="4">
        <v>0</v>
      </c>
      <c r="J129">
        <v>17</v>
      </c>
      <c r="K129">
        <v>22</v>
      </c>
      <c r="L129">
        <v>8</v>
      </c>
      <c r="M129">
        <f t="shared" si="7"/>
        <v>0</v>
      </c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>
        <f t="shared" si="12"/>
        <v>0</v>
      </c>
      <c r="S129">
        <f t="shared" si="13"/>
        <v>0</v>
      </c>
      <c r="T129" t="s">
        <v>25</v>
      </c>
    </row>
    <row r="130" spans="1:20">
      <c r="A130" s="4">
        <v>3530069</v>
      </c>
      <c r="B130" s="5">
        <v>45511</v>
      </c>
      <c r="C130" s="4" t="s">
        <v>70</v>
      </c>
      <c r="D130" s="4" t="s">
        <v>34</v>
      </c>
      <c r="E130" s="4" t="s">
        <v>24</v>
      </c>
      <c r="F130" s="4">
        <v>4</v>
      </c>
      <c r="G130" s="4">
        <v>10</v>
      </c>
      <c r="H130" s="4">
        <v>0</v>
      </c>
      <c r="I130" s="4">
        <v>0</v>
      </c>
      <c r="J130">
        <v>17</v>
      </c>
      <c r="K130">
        <v>22</v>
      </c>
      <c r="L130">
        <v>8</v>
      </c>
      <c r="M130">
        <f t="shared" si="7"/>
        <v>68</v>
      </c>
      <c r="N130">
        <f t="shared" si="8"/>
        <v>220</v>
      </c>
      <c r="O130">
        <f t="shared" si="9"/>
        <v>0</v>
      </c>
      <c r="P130">
        <f t="shared" si="10"/>
        <v>0</v>
      </c>
      <c r="Q130">
        <f t="shared" si="11"/>
        <v>288</v>
      </c>
      <c r="R130">
        <f t="shared" si="12"/>
        <v>2.88</v>
      </c>
      <c r="S130">
        <f t="shared" si="13"/>
        <v>285.12</v>
      </c>
      <c r="T130" t="s">
        <v>25</v>
      </c>
    </row>
    <row r="131" spans="1:20">
      <c r="A131" s="4">
        <v>3530069</v>
      </c>
      <c r="B131" s="5">
        <v>45512</v>
      </c>
      <c r="C131" s="4" t="s">
        <v>70</v>
      </c>
      <c r="D131" s="4" t="s">
        <v>34</v>
      </c>
      <c r="E131" s="4" t="s">
        <v>24</v>
      </c>
      <c r="F131" s="4">
        <v>4</v>
      </c>
      <c r="G131" s="4">
        <v>15</v>
      </c>
      <c r="H131" s="4">
        <v>1</v>
      </c>
      <c r="I131" s="4">
        <v>0</v>
      </c>
      <c r="J131">
        <v>17</v>
      </c>
      <c r="K131">
        <v>22</v>
      </c>
      <c r="L131">
        <v>8</v>
      </c>
      <c r="M131">
        <f t="shared" si="7"/>
        <v>68</v>
      </c>
      <c r="N131">
        <f t="shared" si="8"/>
        <v>330</v>
      </c>
      <c r="O131">
        <f t="shared" si="9"/>
        <v>8</v>
      </c>
      <c r="P131">
        <f t="shared" si="10"/>
        <v>0</v>
      </c>
      <c r="Q131">
        <f t="shared" si="11"/>
        <v>406</v>
      </c>
      <c r="R131">
        <f t="shared" si="12"/>
        <v>4.06</v>
      </c>
      <c r="S131">
        <f t="shared" si="13"/>
        <v>401.94</v>
      </c>
      <c r="T131" t="s">
        <v>25</v>
      </c>
    </row>
    <row r="132" spans="1:20">
      <c r="A132" s="4">
        <v>3530069</v>
      </c>
      <c r="B132" s="5">
        <v>45513</v>
      </c>
      <c r="C132" s="4" t="s">
        <v>70</v>
      </c>
      <c r="D132" s="4" t="s">
        <v>34</v>
      </c>
      <c r="E132" s="4" t="s">
        <v>24</v>
      </c>
      <c r="F132" s="4">
        <v>1</v>
      </c>
      <c r="G132" s="4">
        <v>0</v>
      </c>
      <c r="H132" s="4">
        <v>0</v>
      </c>
      <c r="I132" s="4">
        <v>0</v>
      </c>
      <c r="J132">
        <v>17</v>
      </c>
      <c r="K132">
        <v>22</v>
      </c>
      <c r="L132">
        <v>8</v>
      </c>
      <c r="M132">
        <f t="shared" ref="M132:M195" si="14">F132*J132</f>
        <v>17</v>
      </c>
      <c r="N132">
        <f t="shared" ref="N132:N195" si="15">G132*K132</f>
        <v>0</v>
      </c>
      <c r="O132">
        <f t="shared" ref="O132:O195" si="16">H132*L132</f>
        <v>0</v>
      </c>
      <c r="P132">
        <f t="shared" ref="P132:P195" si="17">I132*2.5</f>
        <v>0</v>
      </c>
      <c r="Q132">
        <f t="shared" ref="Q132:Q195" si="18">M132+N132+O132+P132</f>
        <v>17</v>
      </c>
      <c r="R132">
        <f t="shared" ref="R132:R195" si="19">Q132*1%</f>
        <v>0.17</v>
      </c>
      <c r="S132">
        <f t="shared" ref="S132:S195" si="20">Q132-R132</f>
        <v>16.83</v>
      </c>
      <c r="T132" t="s">
        <v>25</v>
      </c>
    </row>
    <row r="133" spans="1:20">
      <c r="A133" s="4">
        <v>3530069</v>
      </c>
      <c r="B133" s="5">
        <v>45514</v>
      </c>
      <c r="C133" s="4" t="s">
        <v>70</v>
      </c>
      <c r="D133" s="4" t="s">
        <v>34</v>
      </c>
      <c r="E133" s="4" t="s">
        <v>24</v>
      </c>
      <c r="F133" s="4">
        <v>1</v>
      </c>
      <c r="G133" s="4">
        <v>23</v>
      </c>
      <c r="H133" s="4">
        <v>1</v>
      </c>
      <c r="I133" s="4">
        <v>0</v>
      </c>
      <c r="J133">
        <v>17</v>
      </c>
      <c r="K133">
        <v>22</v>
      </c>
      <c r="L133">
        <v>8</v>
      </c>
      <c r="M133">
        <f t="shared" si="14"/>
        <v>17</v>
      </c>
      <c r="N133">
        <f t="shared" si="15"/>
        <v>506</v>
      </c>
      <c r="O133">
        <f t="shared" si="16"/>
        <v>8</v>
      </c>
      <c r="P133">
        <f t="shared" si="17"/>
        <v>0</v>
      </c>
      <c r="Q133">
        <f t="shared" si="18"/>
        <v>531</v>
      </c>
      <c r="R133">
        <f t="shared" si="19"/>
        <v>5.31</v>
      </c>
      <c r="S133">
        <f t="shared" si="20"/>
        <v>525.69</v>
      </c>
      <c r="T133" t="s">
        <v>25</v>
      </c>
    </row>
    <row r="134" spans="1:20">
      <c r="A134" s="4">
        <v>3530069</v>
      </c>
      <c r="B134" s="5">
        <v>45515</v>
      </c>
      <c r="C134" s="4" t="s">
        <v>70</v>
      </c>
      <c r="D134" s="4" t="s">
        <v>34</v>
      </c>
      <c r="E134" s="4" t="s">
        <v>24</v>
      </c>
      <c r="F134" s="4">
        <v>8</v>
      </c>
      <c r="G134" s="4">
        <v>6</v>
      </c>
      <c r="H134" s="4">
        <v>2</v>
      </c>
      <c r="I134" s="4">
        <v>0</v>
      </c>
      <c r="J134">
        <v>17</v>
      </c>
      <c r="K134">
        <v>22</v>
      </c>
      <c r="L134">
        <v>8</v>
      </c>
      <c r="M134">
        <f t="shared" si="14"/>
        <v>136</v>
      </c>
      <c r="N134">
        <f t="shared" si="15"/>
        <v>132</v>
      </c>
      <c r="O134">
        <f t="shared" si="16"/>
        <v>16</v>
      </c>
      <c r="P134">
        <f t="shared" si="17"/>
        <v>0</v>
      </c>
      <c r="Q134">
        <f t="shared" si="18"/>
        <v>284</v>
      </c>
      <c r="R134">
        <f t="shared" si="19"/>
        <v>2.84</v>
      </c>
      <c r="S134">
        <f t="shared" si="20"/>
        <v>281.16</v>
      </c>
      <c r="T134" t="s">
        <v>25</v>
      </c>
    </row>
    <row r="135" spans="1:20">
      <c r="A135" s="4">
        <v>3566686</v>
      </c>
      <c r="B135" s="5">
        <v>45515</v>
      </c>
      <c r="C135" s="4" t="s">
        <v>71</v>
      </c>
      <c r="D135" s="4" t="s">
        <v>72</v>
      </c>
      <c r="E135" s="4" t="s">
        <v>24</v>
      </c>
      <c r="F135" s="4">
        <v>34</v>
      </c>
      <c r="G135" s="4">
        <v>0</v>
      </c>
      <c r="H135" s="4">
        <v>7</v>
      </c>
      <c r="I135" s="4">
        <v>0</v>
      </c>
      <c r="J135">
        <v>17</v>
      </c>
      <c r="K135">
        <v>22</v>
      </c>
      <c r="L135">
        <v>8</v>
      </c>
      <c r="M135">
        <f t="shared" si="14"/>
        <v>578</v>
      </c>
      <c r="N135">
        <f t="shared" si="15"/>
        <v>0</v>
      </c>
      <c r="O135">
        <f t="shared" si="16"/>
        <v>56</v>
      </c>
      <c r="P135">
        <f t="shared" si="17"/>
        <v>0</v>
      </c>
      <c r="Q135">
        <f t="shared" si="18"/>
        <v>634</v>
      </c>
      <c r="R135">
        <f t="shared" si="19"/>
        <v>6.34</v>
      </c>
      <c r="S135">
        <f t="shared" si="20"/>
        <v>627.66</v>
      </c>
      <c r="T135" t="s">
        <v>25</v>
      </c>
    </row>
    <row r="136" spans="1:20">
      <c r="A136" s="4">
        <v>4043094</v>
      </c>
      <c r="B136" s="5">
        <v>45509</v>
      </c>
      <c r="C136" s="4" t="s">
        <v>73</v>
      </c>
      <c r="D136" s="4" t="s">
        <v>27</v>
      </c>
      <c r="E136" s="4" t="s">
        <v>24</v>
      </c>
      <c r="F136" s="4">
        <v>19</v>
      </c>
      <c r="G136" s="4">
        <v>0</v>
      </c>
      <c r="H136" s="4">
        <v>1</v>
      </c>
      <c r="I136" s="4">
        <v>0</v>
      </c>
      <c r="J136">
        <v>17</v>
      </c>
      <c r="K136">
        <v>22</v>
      </c>
      <c r="L136">
        <v>8</v>
      </c>
      <c r="M136">
        <f t="shared" si="14"/>
        <v>323</v>
      </c>
      <c r="N136">
        <f t="shared" si="15"/>
        <v>0</v>
      </c>
      <c r="O136">
        <f t="shared" si="16"/>
        <v>8</v>
      </c>
      <c r="P136">
        <f t="shared" si="17"/>
        <v>0</v>
      </c>
      <c r="Q136">
        <f t="shared" si="18"/>
        <v>331</v>
      </c>
      <c r="R136">
        <f t="shared" si="19"/>
        <v>3.31</v>
      </c>
      <c r="S136">
        <f t="shared" si="20"/>
        <v>327.69</v>
      </c>
      <c r="T136" t="s">
        <v>25</v>
      </c>
    </row>
    <row r="137" spans="1:20">
      <c r="A137" s="4">
        <v>4043094</v>
      </c>
      <c r="B137" s="5">
        <v>45510</v>
      </c>
      <c r="C137" s="4" t="s">
        <v>73</v>
      </c>
      <c r="D137" s="4" t="s">
        <v>27</v>
      </c>
      <c r="E137" s="4" t="s">
        <v>24</v>
      </c>
      <c r="F137" s="4">
        <v>27</v>
      </c>
      <c r="G137" s="4">
        <v>0</v>
      </c>
      <c r="H137" s="4">
        <v>2</v>
      </c>
      <c r="I137" s="4">
        <v>0</v>
      </c>
      <c r="J137">
        <v>17</v>
      </c>
      <c r="K137">
        <v>22</v>
      </c>
      <c r="L137">
        <v>8</v>
      </c>
      <c r="M137">
        <f t="shared" si="14"/>
        <v>459</v>
      </c>
      <c r="N137">
        <f t="shared" si="15"/>
        <v>0</v>
      </c>
      <c r="O137">
        <f t="shared" si="16"/>
        <v>16</v>
      </c>
      <c r="P137">
        <f t="shared" si="17"/>
        <v>0</v>
      </c>
      <c r="Q137">
        <f t="shared" si="18"/>
        <v>475</v>
      </c>
      <c r="R137">
        <f t="shared" si="19"/>
        <v>4.75</v>
      </c>
      <c r="S137">
        <f t="shared" si="20"/>
        <v>470.25</v>
      </c>
      <c r="T137" t="s">
        <v>25</v>
      </c>
    </row>
    <row r="138" spans="1:20">
      <c r="A138" s="4">
        <v>4043094</v>
      </c>
      <c r="B138" s="5">
        <v>45511</v>
      </c>
      <c r="C138" s="4" t="s">
        <v>73</v>
      </c>
      <c r="D138" s="4" t="s">
        <v>27</v>
      </c>
      <c r="E138" s="4" t="s">
        <v>24</v>
      </c>
      <c r="F138" s="4">
        <v>18</v>
      </c>
      <c r="G138" s="4">
        <v>0</v>
      </c>
      <c r="H138" s="4">
        <v>2</v>
      </c>
      <c r="I138" s="4">
        <v>0</v>
      </c>
      <c r="J138">
        <v>17</v>
      </c>
      <c r="K138">
        <v>22</v>
      </c>
      <c r="L138">
        <v>8</v>
      </c>
      <c r="M138">
        <f t="shared" si="14"/>
        <v>306</v>
      </c>
      <c r="N138">
        <f t="shared" si="15"/>
        <v>0</v>
      </c>
      <c r="O138">
        <f t="shared" si="16"/>
        <v>16</v>
      </c>
      <c r="P138">
        <f t="shared" si="17"/>
        <v>0</v>
      </c>
      <c r="Q138">
        <f t="shared" si="18"/>
        <v>322</v>
      </c>
      <c r="R138">
        <f t="shared" si="19"/>
        <v>3.22</v>
      </c>
      <c r="S138">
        <f t="shared" si="20"/>
        <v>318.78</v>
      </c>
      <c r="T138" t="s">
        <v>25</v>
      </c>
    </row>
    <row r="139" spans="1:20">
      <c r="A139" s="4">
        <v>4043094</v>
      </c>
      <c r="B139" s="5">
        <v>45512</v>
      </c>
      <c r="C139" s="4" t="s">
        <v>73</v>
      </c>
      <c r="D139" s="4" t="s">
        <v>27</v>
      </c>
      <c r="E139" s="4" t="s">
        <v>24</v>
      </c>
      <c r="F139" s="4">
        <v>14</v>
      </c>
      <c r="G139" s="4">
        <v>0</v>
      </c>
      <c r="H139" s="4">
        <v>1</v>
      </c>
      <c r="I139" s="4">
        <v>0</v>
      </c>
      <c r="J139">
        <v>17</v>
      </c>
      <c r="K139">
        <v>22</v>
      </c>
      <c r="L139">
        <v>8</v>
      </c>
      <c r="M139">
        <f t="shared" si="14"/>
        <v>238</v>
      </c>
      <c r="N139">
        <f t="shared" si="15"/>
        <v>0</v>
      </c>
      <c r="O139">
        <f t="shared" si="16"/>
        <v>8</v>
      </c>
      <c r="P139">
        <f t="shared" si="17"/>
        <v>0</v>
      </c>
      <c r="Q139">
        <f t="shared" si="18"/>
        <v>246</v>
      </c>
      <c r="R139">
        <f t="shared" si="19"/>
        <v>2.46</v>
      </c>
      <c r="S139">
        <f t="shared" si="20"/>
        <v>243.54</v>
      </c>
      <c r="T139" t="s">
        <v>25</v>
      </c>
    </row>
    <row r="140" spans="1:20">
      <c r="A140" s="4">
        <v>4043094</v>
      </c>
      <c r="B140" s="5">
        <v>45513</v>
      </c>
      <c r="C140" s="4" t="s">
        <v>73</v>
      </c>
      <c r="D140" s="4" t="s">
        <v>27</v>
      </c>
      <c r="E140" s="4" t="s">
        <v>24</v>
      </c>
      <c r="F140" s="4">
        <v>17</v>
      </c>
      <c r="G140" s="4">
        <v>0</v>
      </c>
      <c r="H140" s="4">
        <v>4</v>
      </c>
      <c r="I140" s="4">
        <v>0</v>
      </c>
      <c r="J140">
        <v>17</v>
      </c>
      <c r="K140">
        <v>22</v>
      </c>
      <c r="L140">
        <v>8</v>
      </c>
      <c r="M140">
        <f t="shared" si="14"/>
        <v>289</v>
      </c>
      <c r="N140">
        <f t="shared" si="15"/>
        <v>0</v>
      </c>
      <c r="O140">
        <f t="shared" si="16"/>
        <v>32</v>
      </c>
      <c r="P140">
        <f t="shared" si="17"/>
        <v>0</v>
      </c>
      <c r="Q140">
        <f t="shared" si="18"/>
        <v>321</v>
      </c>
      <c r="R140">
        <f t="shared" si="19"/>
        <v>3.21</v>
      </c>
      <c r="S140">
        <f t="shared" si="20"/>
        <v>317.79</v>
      </c>
      <c r="T140" t="s">
        <v>25</v>
      </c>
    </row>
    <row r="141" spans="1:20">
      <c r="A141" s="4">
        <v>4043094</v>
      </c>
      <c r="B141" s="5">
        <v>45514</v>
      </c>
      <c r="C141" s="4" t="s">
        <v>73</v>
      </c>
      <c r="D141" s="4" t="s">
        <v>27</v>
      </c>
      <c r="E141" s="4" t="s">
        <v>24</v>
      </c>
      <c r="F141" s="4">
        <v>13</v>
      </c>
      <c r="G141" s="4">
        <v>0</v>
      </c>
      <c r="H141" s="4">
        <v>2</v>
      </c>
      <c r="I141" s="4">
        <v>0</v>
      </c>
      <c r="J141">
        <v>17</v>
      </c>
      <c r="K141">
        <v>22</v>
      </c>
      <c r="L141">
        <v>8</v>
      </c>
      <c r="M141">
        <f t="shared" si="14"/>
        <v>221</v>
      </c>
      <c r="N141">
        <f t="shared" si="15"/>
        <v>0</v>
      </c>
      <c r="O141">
        <f t="shared" si="16"/>
        <v>16</v>
      </c>
      <c r="P141">
        <f t="shared" si="17"/>
        <v>0</v>
      </c>
      <c r="Q141">
        <f t="shared" si="18"/>
        <v>237</v>
      </c>
      <c r="R141">
        <f t="shared" si="19"/>
        <v>2.37</v>
      </c>
      <c r="S141">
        <f t="shared" si="20"/>
        <v>234.63</v>
      </c>
      <c r="T141" t="s">
        <v>25</v>
      </c>
    </row>
    <row r="142" spans="1:20">
      <c r="A142" s="4">
        <v>4089468</v>
      </c>
      <c r="B142" s="5">
        <v>45509</v>
      </c>
      <c r="C142" s="4" t="s">
        <v>74</v>
      </c>
      <c r="D142" s="4" t="s">
        <v>44</v>
      </c>
      <c r="E142" s="4" t="s">
        <v>24</v>
      </c>
      <c r="F142" s="4">
        <v>13</v>
      </c>
      <c r="G142" s="4">
        <v>8</v>
      </c>
      <c r="H142" s="4">
        <v>0</v>
      </c>
      <c r="I142" s="4">
        <v>0</v>
      </c>
      <c r="J142">
        <v>17</v>
      </c>
      <c r="K142">
        <v>22</v>
      </c>
      <c r="L142">
        <v>8</v>
      </c>
      <c r="M142">
        <f t="shared" si="14"/>
        <v>221</v>
      </c>
      <c r="N142">
        <f t="shared" si="15"/>
        <v>176</v>
      </c>
      <c r="O142">
        <f t="shared" si="16"/>
        <v>0</v>
      </c>
      <c r="P142">
        <f t="shared" si="17"/>
        <v>0</v>
      </c>
      <c r="Q142">
        <f t="shared" si="18"/>
        <v>397</v>
      </c>
      <c r="R142">
        <f t="shared" si="19"/>
        <v>3.97</v>
      </c>
      <c r="S142">
        <f t="shared" si="20"/>
        <v>393.03</v>
      </c>
      <c r="T142" t="s">
        <v>25</v>
      </c>
    </row>
    <row r="143" spans="1:20">
      <c r="A143" s="4">
        <v>4089468</v>
      </c>
      <c r="B143" s="5">
        <v>45510</v>
      </c>
      <c r="C143" s="4" t="s">
        <v>74</v>
      </c>
      <c r="D143" s="4" t="s">
        <v>44</v>
      </c>
      <c r="E143" s="4" t="s">
        <v>24</v>
      </c>
      <c r="F143" s="4">
        <v>11</v>
      </c>
      <c r="G143" s="4">
        <v>13</v>
      </c>
      <c r="H143" s="4">
        <v>1</v>
      </c>
      <c r="I143" s="4">
        <v>0</v>
      </c>
      <c r="J143">
        <v>17</v>
      </c>
      <c r="K143">
        <v>22</v>
      </c>
      <c r="L143">
        <v>8</v>
      </c>
      <c r="M143">
        <f t="shared" si="14"/>
        <v>187</v>
      </c>
      <c r="N143">
        <f t="shared" si="15"/>
        <v>286</v>
      </c>
      <c r="O143">
        <f t="shared" si="16"/>
        <v>8</v>
      </c>
      <c r="P143">
        <f t="shared" si="17"/>
        <v>0</v>
      </c>
      <c r="Q143">
        <f t="shared" si="18"/>
        <v>481</v>
      </c>
      <c r="R143">
        <f t="shared" si="19"/>
        <v>4.81</v>
      </c>
      <c r="S143">
        <f t="shared" si="20"/>
        <v>476.19</v>
      </c>
      <c r="T143" t="s">
        <v>25</v>
      </c>
    </row>
    <row r="144" spans="1:20">
      <c r="A144" s="4">
        <v>4089468</v>
      </c>
      <c r="B144" s="5">
        <v>45511</v>
      </c>
      <c r="C144" s="4" t="s">
        <v>74</v>
      </c>
      <c r="D144" s="4" t="s">
        <v>44</v>
      </c>
      <c r="E144" s="4" t="s">
        <v>24</v>
      </c>
      <c r="F144" s="4">
        <v>17</v>
      </c>
      <c r="G144" s="4">
        <v>7</v>
      </c>
      <c r="H144" s="4">
        <v>3</v>
      </c>
      <c r="I144" s="4">
        <v>0</v>
      </c>
      <c r="J144">
        <v>17</v>
      </c>
      <c r="K144">
        <v>22</v>
      </c>
      <c r="L144">
        <v>8</v>
      </c>
      <c r="M144">
        <f t="shared" si="14"/>
        <v>289</v>
      </c>
      <c r="N144">
        <f t="shared" si="15"/>
        <v>154</v>
      </c>
      <c r="O144">
        <f t="shared" si="16"/>
        <v>24</v>
      </c>
      <c r="P144">
        <f t="shared" si="17"/>
        <v>0</v>
      </c>
      <c r="Q144">
        <f t="shared" si="18"/>
        <v>467</v>
      </c>
      <c r="R144">
        <f t="shared" si="19"/>
        <v>4.67</v>
      </c>
      <c r="S144">
        <f t="shared" si="20"/>
        <v>462.33</v>
      </c>
      <c r="T144" t="s">
        <v>25</v>
      </c>
    </row>
    <row r="145" spans="1:20">
      <c r="A145" s="4">
        <v>4089468</v>
      </c>
      <c r="B145" s="5">
        <v>45512</v>
      </c>
      <c r="C145" s="4" t="s">
        <v>74</v>
      </c>
      <c r="D145" s="4" t="s">
        <v>44</v>
      </c>
      <c r="E145" s="4" t="s">
        <v>24</v>
      </c>
      <c r="F145" s="4">
        <v>0</v>
      </c>
      <c r="G145" s="4">
        <v>6</v>
      </c>
      <c r="H145" s="4">
        <v>1</v>
      </c>
      <c r="I145" s="4">
        <v>0</v>
      </c>
      <c r="J145">
        <v>17</v>
      </c>
      <c r="K145">
        <v>22</v>
      </c>
      <c r="L145">
        <v>8</v>
      </c>
      <c r="M145">
        <f t="shared" si="14"/>
        <v>0</v>
      </c>
      <c r="N145">
        <f t="shared" si="15"/>
        <v>132</v>
      </c>
      <c r="O145">
        <f t="shared" si="16"/>
        <v>8</v>
      </c>
      <c r="P145">
        <f t="shared" si="17"/>
        <v>0</v>
      </c>
      <c r="Q145">
        <f t="shared" si="18"/>
        <v>140</v>
      </c>
      <c r="R145">
        <f t="shared" si="19"/>
        <v>1.4</v>
      </c>
      <c r="S145">
        <f t="shared" si="20"/>
        <v>138.6</v>
      </c>
      <c r="T145" t="s">
        <v>25</v>
      </c>
    </row>
    <row r="146" spans="1:20">
      <c r="A146" s="4">
        <v>4089468</v>
      </c>
      <c r="B146" s="5">
        <v>45513</v>
      </c>
      <c r="C146" s="4" t="s">
        <v>74</v>
      </c>
      <c r="D146" s="4" t="s">
        <v>44</v>
      </c>
      <c r="E146" s="4" t="s">
        <v>24</v>
      </c>
      <c r="F146" s="4">
        <v>0</v>
      </c>
      <c r="G146" s="4">
        <v>0</v>
      </c>
      <c r="H146" s="4">
        <v>0</v>
      </c>
      <c r="I146" s="4">
        <v>0</v>
      </c>
      <c r="J146">
        <v>17</v>
      </c>
      <c r="K146">
        <v>22</v>
      </c>
      <c r="L146">
        <v>8</v>
      </c>
      <c r="M146">
        <f t="shared" si="14"/>
        <v>0</v>
      </c>
      <c r="N146">
        <f t="shared" si="15"/>
        <v>0</v>
      </c>
      <c r="O146">
        <f t="shared" si="16"/>
        <v>0</v>
      </c>
      <c r="P146">
        <f t="shared" si="17"/>
        <v>0</v>
      </c>
      <c r="Q146">
        <f t="shared" si="18"/>
        <v>0</v>
      </c>
      <c r="R146">
        <f t="shared" si="19"/>
        <v>0</v>
      </c>
      <c r="S146">
        <f t="shared" si="20"/>
        <v>0</v>
      </c>
      <c r="T146" t="s">
        <v>25</v>
      </c>
    </row>
    <row r="147" spans="1:20">
      <c r="A147" s="4">
        <v>4089468</v>
      </c>
      <c r="B147" s="5">
        <v>45514</v>
      </c>
      <c r="C147" s="4" t="s">
        <v>74</v>
      </c>
      <c r="D147" s="4" t="s">
        <v>44</v>
      </c>
      <c r="E147" s="4" t="s">
        <v>24</v>
      </c>
      <c r="F147" s="4">
        <v>0</v>
      </c>
      <c r="G147" s="4">
        <v>10</v>
      </c>
      <c r="H147" s="4">
        <v>1</v>
      </c>
      <c r="I147" s="4">
        <v>0</v>
      </c>
      <c r="J147">
        <v>17</v>
      </c>
      <c r="K147">
        <v>22</v>
      </c>
      <c r="L147">
        <v>8</v>
      </c>
      <c r="M147">
        <f t="shared" si="14"/>
        <v>0</v>
      </c>
      <c r="N147">
        <f t="shared" si="15"/>
        <v>220</v>
      </c>
      <c r="O147">
        <f t="shared" si="16"/>
        <v>8</v>
      </c>
      <c r="P147">
        <f t="shared" si="17"/>
        <v>0</v>
      </c>
      <c r="Q147">
        <f t="shared" si="18"/>
        <v>228</v>
      </c>
      <c r="R147">
        <f t="shared" si="19"/>
        <v>2.28</v>
      </c>
      <c r="S147">
        <f t="shared" si="20"/>
        <v>225.72</v>
      </c>
      <c r="T147" t="s">
        <v>25</v>
      </c>
    </row>
    <row r="148" spans="1:20">
      <c r="A148" s="4">
        <v>4089468</v>
      </c>
      <c r="B148" s="5">
        <v>45515</v>
      </c>
      <c r="C148" s="4" t="s">
        <v>74</v>
      </c>
      <c r="D148" s="4" t="s">
        <v>44</v>
      </c>
      <c r="E148" s="4" t="s">
        <v>24</v>
      </c>
      <c r="F148" s="4">
        <v>19</v>
      </c>
      <c r="G148" s="4">
        <v>6</v>
      </c>
      <c r="H148" s="4">
        <v>0</v>
      </c>
      <c r="I148" s="4">
        <v>0</v>
      </c>
      <c r="J148">
        <v>17</v>
      </c>
      <c r="K148">
        <v>22</v>
      </c>
      <c r="L148">
        <v>8</v>
      </c>
      <c r="M148">
        <f t="shared" si="14"/>
        <v>323</v>
      </c>
      <c r="N148">
        <f t="shared" si="15"/>
        <v>132</v>
      </c>
      <c r="O148">
        <f t="shared" si="16"/>
        <v>0</v>
      </c>
      <c r="P148">
        <f t="shared" si="17"/>
        <v>0</v>
      </c>
      <c r="Q148">
        <f t="shared" si="18"/>
        <v>455</v>
      </c>
      <c r="R148">
        <f t="shared" si="19"/>
        <v>4.55</v>
      </c>
      <c r="S148">
        <f t="shared" si="20"/>
        <v>450.45</v>
      </c>
      <c r="T148" t="s">
        <v>25</v>
      </c>
    </row>
    <row r="149" spans="1:20">
      <c r="A149" s="4">
        <v>4225595</v>
      </c>
      <c r="B149" s="5">
        <v>45515</v>
      </c>
      <c r="C149" s="4" t="s">
        <v>75</v>
      </c>
      <c r="D149" s="4" t="s">
        <v>34</v>
      </c>
      <c r="E149" s="4" t="s">
        <v>24</v>
      </c>
      <c r="F149" s="4">
        <v>6</v>
      </c>
      <c r="G149" s="4">
        <v>0</v>
      </c>
      <c r="H149" s="4">
        <v>0</v>
      </c>
      <c r="I149" s="4">
        <v>0</v>
      </c>
      <c r="J149">
        <v>17</v>
      </c>
      <c r="K149">
        <v>22</v>
      </c>
      <c r="L149">
        <v>8</v>
      </c>
      <c r="M149">
        <f t="shared" si="14"/>
        <v>102</v>
      </c>
      <c r="N149">
        <f t="shared" si="15"/>
        <v>0</v>
      </c>
      <c r="O149">
        <f t="shared" si="16"/>
        <v>0</v>
      </c>
      <c r="P149">
        <f t="shared" si="17"/>
        <v>0</v>
      </c>
      <c r="Q149">
        <f t="shared" si="18"/>
        <v>102</v>
      </c>
      <c r="R149">
        <f t="shared" si="19"/>
        <v>1.02</v>
      </c>
      <c r="S149">
        <f t="shared" si="20"/>
        <v>100.98</v>
      </c>
      <c r="T149" t="s">
        <v>25</v>
      </c>
    </row>
    <row r="150" spans="1:20">
      <c r="A150" s="4">
        <v>4265984</v>
      </c>
      <c r="B150" s="5">
        <v>45510</v>
      </c>
      <c r="C150" s="4" t="s">
        <v>76</v>
      </c>
      <c r="D150" s="4" t="s">
        <v>27</v>
      </c>
      <c r="E150" s="4" t="s">
        <v>24</v>
      </c>
      <c r="F150" s="4">
        <v>22</v>
      </c>
      <c r="G150" s="4">
        <v>0</v>
      </c>
      <c r="H150" s="4">
        <v>3</v>
      </c>
      <c r="I150" s="4">
        <v>0</v>
      </c>
      <c r="J150">
        <v>17</v>
      </c>
      <c r="K150">
        <v>22</v>
      </c>
      <c r="L150">
        <v>8</v>
      </c>
      <c r="M150">
        <f t="shared" si="14"/>
        <v>374</v>
      </c>
      <c r="N150">
        <f t="shared" si="15"/>
        <v>0</v>
      </c>
      <c r="O150">
        <f t="shared" si="16"/>
        <v>24</v>
      </c>
      <c r="P150">
        <f t="shared" si="17"/>
        <v>0</v>
      </c>
      <c r="Q150">
        <f t="shared" si="18"/>
        <v>398</v>
      </c>
      <c r="R150">
        <f t="shared" si="19"/>
        <v>3.98</v>
      </c>
      <c r="S150">
        <f t="shared" si="20"/>
        <v>394.02</v>
      </c>
      <c r="T150" t="s">
        <v>25</v>
      </c>
    </row>
    <row r="151" spans="1:20">
      <c r="A151" s="4">
        <v>4265984</v>
      </c>
      <c r="B151" s="5">
        <v>45511</v>
      </c>
      <c r="C151" s="4" t="s">
        <v>76</v>
      </c>
      <c r="D151" s="4" t="s">
        <v>27</v>
      </c>
      <c r="E151" s="4" t="s">
        <v>24</v>
      </c>
      <c r="F151" s="4">
        <v>10</v>
      </c>
      <c r="G151" s="4">
        <v>0</v>
      </c>
      <c r="H151" s="4">
        <v>0</v>
      </c>
      <c r="I151" s="4">
        <v>0</v>
      </c>
      <c r="J151">
        <v>17</v>
      </c>
      <c r="K151">
        <v>22</v>
      </c>
      <c r="L151">
        <v>8</v>
      </c>
      <c r="M151">
        <f t="shared" si="14"/>
        <v>170</v>
      </c>
      <c r="N151">
        <f t="shared" si="15"/>
        <v>0</v>
      </c>
      <c r="O151">
        <f t="shared" si="16"/>
        <v>0</v>
      </c>
      <c r="P151">
        <f t="shared" si="17"/>
        <v>0</v>
      </c>
      <c r="Q151">
        <f t="shared" si="18"/>
        <v>170</v>
      </c>
      <c r="R151">
        <f t="shared" si="19"/>
        <v>1.7</v>
      </c>
      <c r="S151">
        <f t="shared" si="20"/>
        <v>168.3</v>
      </c>
      <c r="T151" t="s">
        <v>25</v>
      </c>
    </row>
    <row r="152" spans="1:20">
      <c r="A152" s="4">
        <v>4265984</v>
      </c>
      <c r="B152" s="5">
        <v>45512</v>
      </c>
      <c r="C152" s="4" t="s">
        <v>76</v>
      </c>
      <c r="D152" s="4" t="s">
        <v>27</v>
      </c>
      <c r="E152" s="4" t="s">
        <v>24</v>
      </c>
      <c r="F152" s="4">
        <v>31</v>
      </c>
      <c r="G152" s="4">
        <v>0</v>
      </c>
      <c r="H152" s="4">
        <v>1</v>
      </c>
      <c r="I152" s="4">
        <v>0</v>
      </c>
      <c r="J152">
        <v>17</v>
      </c>
      <c r="K152">
        <v>22</v>
      </c>
      <c r="L152">
        <v>8</v>
      </c>
      <c r="M152">
        <f t="shared" si="14"/>
        <v>527</v>
      </c>
      <c r="N152">
        <f t="shared" si="15"/>
        <v>0</v>
      </c>
      <c r="O152">
        <f t="shared" si="16"/>
        <v>8</v>
      </c>
      <c r="P152">
        <f t="shared" si="17"/>
        <v>0</v>
      </c>
      <c r="Q152">
        <f t="shared" si="18"/>
        <v>535</v>
      </c>
      <c r="R152">
        <f t="shared" si="19"/>
        <v>5.35</v>
      </c>
      <c r="S152">
        <f t="shared" si="20"/>
        <v>529.65</v>
      </c>
      <c r="T152" t="s">
        <v>25</v>
      </c>
    </row>
    <row r="153" spans="1:20">
      <c r="A153" s="4">
        <v>4265984</v>
      </c>
      <c r="B153" s="5">
        <v>45513</v>
      </c>
      <c r="C153" s="4" t="s">
        <v>76</v>
      </c>
      <c r="D153" s="4" t="s">
        <v>27</v>
      </c>
      <c r="E153" s="4" t="s">
        <v>24</v>
      </c>
      <c r="F153" s="4">
        <v>12</v>
      </c>
      <c r="G153" s="4">
        <v>0</v>
      </c>
      <c r="H153" s="4">
        <v>0</v>
      </c>
      <c r="I153" s="4">
        <v>0</v>
      </c>
      <c r="J153">
        <v>17</v>
      </c>
      <c r="K153">
        <v>22</v>
      </c>
      <c r="L153">
        <v>8</v>
      </c>
      <c r="M153">
        <f t="shared" si="14"/>
        <v>204</v>
      </c>
      <c r="N153">
        <f t="shared" si="15"/>
        <v>0</v>
      </c>
      <c r="O153">
        <f t="shared" si="16"/>
        <v>0</v>
      </c>
      <c r="P153">
        <f t="shared" si="17"/>
        <v>0</v>
      </c>
      <c r="Q153">
        <f t="shared" si="18"/>
        <v>204</v>
      </c>
      <c r="R153">
        <f t="shared" si="19"/>
        <v>2.04</v>
      </c>
      <c r="S153">
        <f t="shared" si="20"/>
        <v>201.96</v>
      </c>
      <c r="T153" t="s">
        <v>25</v>
      </c>
    </row>
    <row r="154" spans="1:20">
      <c r="A154" s="4">
        <v>4265984</v>
      </c>
      <c r="B154" s="5">
        <v>45514</v>
      </c>
      <c r="C154" s="4" t="s">
        <v>76</v>
      </c>
      <c r="D154" s="4" t="s">
        <v>27</v>
      </c>
      <c r="E154" s="4" t="s">
        <v>24</v>
      </c>
      <c r="F154" s="4">
        <v>13</v>
      </c>
      <c r="G154" s="4">
        <v>0</v>
      </c>
      <c r="H154" s="4">
        <v>1</v>
      </c>
      <c r="I154" s="4">
        <v>0</v>
      </c>
      <c r="J154">
        <v>17</v>
      </c>
      <c r="K154">
        <v>22</v>
      </c>
      <c r="L154">
        <v>8</v>
      </c>
      <c r="M154">
        <f t="shared" si="14"/>
        <v>221</v>
      </c>
      <c r="N154">
        <f t="shared" si="15"/>
        <v>0</v>
      </c>
      <c r="O154">
        <f t="shared" si="16"/>
        <v>8</v>
      </c>
      <c r="P154">
        <f t="shared" si="17"/>
        <v>0</v>
      </c>
      <c r="Q154">
        <f t="shared" si="18"/>
        <v>229</v>
      </c>
      <c r="R154">
        <f t="shared" si="19"/>
        <v>2.29</v>
      </c>
      <c r="S154">
        <f t="shared" si="20"/>
        <v>226.71</v>
      </c>
      <c r="T154" t="s">
        <v>25</v>
      </c>
    </row>
    <row r="155" spans="1:20">
      <c r="A155" s="4">
        <v>4347525</v>
      </c>
      <c r="B155" s="5">
        <v>45509</v>
      </c>
      <c r="C155" s="4" t="s">
        <v>77</v>
      </c>
      <c r="D155" s="4" t="s">
        <v>39</v>
      </c>
      <c r="E155" s="4" t="s">
        <v>24</v>
      </c>
      <c r="F155" s="4">
        <v>28</v>
      </c>
      <c r="G155" s="4">
        <v>0</v>
      </c>
      <c r="H155" s="4">
        <v>5</v>
      </c>
      <c r="I155" s="4">
        <v>0</v>
      </c>
      <c r="J155">
        <v>18</v>
      </c>
      <c r="K155">
        <v>22</v>
      </c>
      <c r="L155">
        <v>8</v>
      </c>
      <c r="M155">
        <f t="shared" si="14"/>
        <v>504</v>
      </c>
      <c r="N155">
        <f t="shared" si="15"/>
        <v>0</v>
      </c>
      <c r="O155">
        <f t="shared" si="16"/>
        <v>40</v>
      </c>
      <c r="P155">
        <f t="shared" si="17"/>
        <v>0</v>
      </c>
      <c r="Q155">
        <f t="shared" si="18"/>
        <v>544</v>
      </c>
      <c r="R155">
        <f t="shared" si="19"/>
        <v>5.44</v>
      </c>
      <c r="S155">
        <f t="shared" si="20"/>
        <v>538.56</v>
      </c>
      <c r="T155" t="s">
        <v>25</v>
      </c>
    </row>
    <row r="156" spans="1:20">
      <c r="A156" s="4">
        <v>4347525</v>
      </c>
      <c r="B156" s="5">
        <v>45510</v>
      </c>
      <c r="C156" s="4" t="s">
        <v>77</v>
      </c>
      <c r="D156" s="4" t="s">
        <v>39</v>
      </c>
      <c r="E156" s="4" t="s">
        <v>24</v>
      </c>
      <c r="F156" s="4">
        <v>35</v>
      </c>
      <c r="G156" s="4">
        <v>0</v>
      </c>
      <c r="H156" s="4">
        <v>7</v>
      </c>
      <c r="I156" s="4">
        <v>0</v>
      </c>
      <c r="J156">
        <v>18</v>
      </c>
      <c r="K156">
        <v>22</v>
      </c>
      <c r="L156">
        <v>8</v>
      </c>
      <c r="M156">
        <f t="shared" si="14"/>
        <v>630</v>
      </c>
      <c r="N156">
        <f t="shared" si="15"/>
        <v>0</v>
      </c>
      <c r="O156">
        <f t="shared" si="16"/>
        <v>56</v>
      </c>
      <c r="P156">
        <f t="shared" si="17"/>
        <v>0</v>
      </c>
      <c r="Q156">
        <f t="shared" si="18"/>
        <v>686</v>
      </c>
      <c r="R156">
        <f t="shared" si="19"/>
        <v>6.86</v>
      </c>
      <c r="S156">
        <f t="shared" si="20"/>
        <v>679.14</v>
      </c>
      <c r="T156" t="s">
        <v>25</v>
      </c>
    </row>
    <row r="157" spans="1:20">
      <c r="A157" s="4">
        <v>4347525</v>
      </c>
      <c r="B157" s="5">
        <v>45512</v>
      </c>
      <c r="C157" s="4" t="s">
        <v>77</v>
      </c>
      <c r="D157" s="4" t="s">
        <v>39</v>
      </c>
      <c r="E157" s="4" t="s">
        <v>24</v>
      </c>
      <c r="F157" s="4">
        <v>21</v>
      </c>
      <c r="G157" s="4">
        <v>0</v>
      </c>
      <c r="H157" s="4">
        <v>4</v>
      </c>
      <c r="I157" s="4">
        <v>0</v>
      </c>
      <c r="J157">
        <v>18</v>
      </c>
      <c r="K157">
        <v>22</v>
      </c>
      <c r="L157">
        <v>8</v>
      </c>
      <c r="M157">
        <f t="shared" si="14"/>
        <v>378</v>
      </c>
      <c r="N157">
        <f t="shared" si="15"/>
        <v>0</v>
      </c>
      <c r="O157">
        <f t="shared" si="16"/>
        <v>32</v>
      </c>
      <c r="P157">
        <f t="shared" si="17"/>
        <v>0</v>
      </c>
      <c r="Q157">
        <f t="shared" si="18"/>
        <v>410</v>
      </c>
      <c r="R157">
        <f t="shared" si="19"/>
        <v>4.1</v>
      </c>
      <c r="S157">
        <f t="shared" si="20"/>
        <v>405.9</v>
      </c>
      <c r="T157" t="s">
        <v>25</v>
      </c>
    </row>
    <row r="158" spans="1:20">
      <c r="A158" s="4">
        <v>4347525</v>
      </c>
      <c r="B158" s="5">
        <v>45513</v>
      </c>
      <c r="C158" s="4" t="s">
        <v>77</v>
      </c>
      <c r="D158" s="4" t="s">
        <v>39</v>
      </c>
      <c r="E158" s="4" t="s">
        <v>24</v>
      </c>
      <c r="F158" s="4">
        <v>35</v>
      </c>
      <c r="G158" s="4">
        <v>0</v>
      </c>
      <c r="H158" s="4">
        <v>8</v>
      </c>
      <c r="I158" s="4">
        <v>0</v>
      </c>
      <c r="J158">
        <v>18</v>
      </c>
      <c r="K158">
        <v>22</v>
      </c>
      <c r="L158">
        <v>8</v>
      </c>
      <c r="M158">
        <f t="shared" si="14"/>
        <v>630</v>
      </c>
      <c r="N158">
        <f t="shared" si="15"/>
        <v>0</v>
      </c>
      <c r="O158">
        <f t="shared" si="16"/>
        <v>64</v>
      </c>
      <c r="P158">
        <f t="shared" si="17"/>
        <v>0</v>
      </c>
      <c r="Q158">
        <f t="shared" si="18"/>
        <v>694</v>
      </c>
      <c r="R158">
        <f t="shared" si="19"/>
        <v>6.94</v>
      </c>
      <c r="S158">
        <f t="shared" si="20"/>
        <v>687.06</v>
      </c>
      <c r="T158" t="s">
        <v>25</v>
      </c>
    </row>
    <row r="159" spans="1:20">
      <c r="A159" s="4">
        <v>4347525</v>
      </c>
      <c r="B159" s="5">
        <v>45514</v>
      </c>
      <c r="C159" s="4" t="s">
        <v>77</v>
      </c>
      <c r="D159" s="4" t="s">
        <v>39</v>
      </c>
      <c r="E159" s="4" t="s">
        <v>24</v>
      </c>
      <c r="F159" s="4">
        <v>39</v>
      </c>
      <c r="G159" s="4">
        <v>0</v>
      </c>
      <c r="H159" s="4">
        <v>7</v>
      </c>
      <c r="I159" s="4">
        <v>0</v>
      </c>
      <c r="J159">
        <v>18</v>
      </c>
      <c r="K159">
        <v>22</v>
      </c>
      <c r="L159">
        <v>8</v>
      </c>
      <c r="M159">
        <f t="shared" si="14"/>
        <v>702</v>
      </c>
      <c r="N159">
        <f t="shared" si="15"/>
        <v>0</v>
      </c>
      <c r="O159">
        <f t="shared" si="16"/>
        <v>56</v>
      </c>
      <c r="P159">
        <f t="shared" si="17"/>
        <v>0</v>
      </c>
      <c r="Q159">
        <f t="shared" si="18"/>
        <v>758</v>
      </c>
      <c r="R159">
        <f t="shared" si="19"/>
        <v>7.58</v>
      </c>
      <c r="S159">
        <f t="shared" si="20"/>
        <v>750.42</v>
      </c>
      <c r="T159" t="s">
        <v>25</v>
      </c>
    </row>
    <row r="160" spans="1:20">
      <c r="A160" s="4">
        <v>4347525</v>
      </c>
      <c r="B160" s="5">
        <v>45515</v>
      </c>
      <c r="C160" s="4" t="s">
        <v>77</v>
      </c>
      <c r="D160" s="4" t="s">
        <v>39</v>
      </c>
      <c r="E160" s="4" t="s">
        <v>24</v>
      </c>
      <c r="F160" s="4">
        <v>30</v>
      </c>
      <c r="G160" s="4">
        <v>0</v>
      </c>
      <c r="H160" s="4">
        <v>3</v>
      </c>
      <c r="I160" s="4">
        <v>0</v>
      </c>
      <c r="J160">
        <v>18</v>
      </c>
      <c r="K160">
        <v>22</v>
      </c>
      <c r="L160">
        <v>8</v>
      </c>
      <c r="M160">
        <f t="shared" si="14"/>
        <v>540</v>
      </c>
      <c r="N160">
        <f t="shared" si="15"/>
        <v>0</v>
      </c>
      <c r="O160">
        <f t="shared" si="16"/>
        <v>24</v>
      </c>
      <c r="P160">
        <f t="shared" si="17"/>
        <v>0</v>
      </c>
      <c r="Q160">
        <f t="shared" si="18"/>
        <v>564</v>
      </c>
      <c r="R160">
        <f t="shared" si="19"/>
        <v>5.64</v>
      </c>
      <c r="S160">
        <f t="shared" si="20"/>
        <v>558.36</v>
      </c>
      <c r="T160" t="s">
        <v>25</v>
      </c>
    </row>
    <row r="161" spans="1:20">
      <c r="A161" s="4">
        <v>4355254</v>
      </c>
      <c r="B161" s="5">
        <v>45510</v>
      </c>
      <c r="C161" s="4" t="s">
        <v>78</v>
      </c>
      <c r="D161" s="4" t="s">
        <v>44</v>
      </c>
      <c r="E161" s="4" t="s">
        <v>24</v>
      </c>
      <c r="F161" s="4">
        <v>25</v>
      </c>
      <c r="G161" s="4">
        <v>0</v>
      </c>
      <c r="H161" s="4">
        <v>0</v>
      </c>
      <c r="I161" s="4">
        <v>0</v>
      </c>
      <c r="J161">
        <v>17</v>
      </c>
      <c r="K161">
        <v>22</v>
      </c>
      <c r="L161">
        <v>8</v>
      </c>
      <c r="M161">
        <f t="shared" si="14"/>
        <v>425</v>
      </c>
      <c r="N161">
        <f t="shared" si="15"/>
        <v>0</v>
      </c>
      <c r="O161">
        <f t="shared" si="16"/>
        <v>0</v>
      </c>
      <c r="P161">
        <f t="shared" si="17"/>
        <v>0</v>
      </c>
      <c r="Q161">
        <f t="shared" si="18"/>
        <v>425</v>
      </c>
      <c r="R161">
        <f t="shared" si="19"/>
        <v>4.25</v>
      </c>
      <c r="S161">
        <f t="shared" si="20"/>
        <v>420.75</v>
      </c>
      <c r="T161" t="s">
        <v>25</v>
      </c>
    </row>
    <row r="162" spans="1:20">
      <c r="A162" s="4">
        <v>4355254</v>
      </c>
      <c r="B162" s="5">
        <v>45511</v>
      </c>
      <c r="C162" s="4" t="s">
        <v>78</v>
      </c>
      <c r="D162" s="4" t="s">
        <v>44</v>
      </c>
      <c r="E162" s="4" t="s">
        <v>24</v>
      </c>
      <c r="F162" s="4">
        <v>12</v>
      </c>
      <c r="G162" s="4">
        <v>0</v>
      </c>
      <c r="H162" s="4">
        <v>1</v>
      </c>
      <c r="I162" s="4">
        <v>0</v>
      </c>
      <c r="J162">
        <v>17</v>
      </c>
      <c r="K162">
        <v>22</v>
      </c>
      <c r="L162">
        <v>8</v>
      </c>
      <c r="M162">
        <f t="shared" si="14"/>
        <v>204</v>
      </c>
      <c r="N162">
        <f t="shared" si="15"/>
        <v>0</v>
      </c>
      <c r="O162">
        <f t="shared" si="16"/>
        <v>8</v>
      </c>
      <c r="P162">
        <f t="shared" si="17"/>
        <v>0</v>
      </c>
      <c r="Q162">
        <f t="shared" si="18"/>
        <v>212</v>
      </c>
      <c r="R162">
        <f t="shared" si="19"/>
        <v>2.12</v>
      </c>
      <c r="S162">
        <f t="shared" si="20"/>
        <v>209.88</v>
      </c>
      <c r="T162" t="s">
        <v>25</v>
      </c>
    </row>
    <row r="163" spans="1:20">
      <c r="A163" s="4">
        <v>4355254</v>
      </c>
      <c r="B163" s="5">
        <v>45512</v>
      </c>
      <c r="C163" s="4" t="s">
        <v>78</v>
      </c>
      <c r="D163" s="4" t="s">
        <v>44</v>
      </c>
      <c r="E163" s="4" t="s">
        <v>24</v>
      </c>
      <c r="F163" s="4">
        <v>15</v>
      </c>
      <c r="G163" s="4">
        <v>0</v>
      </c>
      <c r="H163" s="4">
        <v>1</v>
      </c>
      <c r="I163" s="4">
        <v>0</v>
      </c>
      <c r="J163">
        <v>17</v>
      </c>
      <c r="K163">
        <v>22</v>
      </c>
      <c r="L163">
        <v>8</v>
      </c>
      <c r="M163">
        <f t="shared" si="14"/>
        <v>255</v>
      </c>
      <c r="N163">
        <f t="shared" si="15"/>
        <v>0</v>
      </c>
      <c r="O163">
        <f t="shared" si="16"/>
        <v>8</v>
      </c>
      <c r="P163">
        <f t="shared" si="17"/>
        <v>0</v>
      </c>
      <c r="Q163">
        <f t="shared" si="18"/>
        <v>263</v>
      </c>
      <c r="R163">
        <f t="shared" si="19"/>
        <v>2.63</v>
      </c>
      <c r="S163">
        <f t="shared" si="20"/>
        <v>260.37</v>
      </c>
      <c r="T163" t="s">
        <v>25</v>
      </c>
    </row>
    <row r="164" spans="1:20">
      <c r="A164" s="4">
        <v>4355349</v>
      </c>
      <c r="B164" s="5">
        <v>45512</v>
      </c>
      <c r="C164" s="4" t="s">
        <v>79</v>
      </c>
      <c r="D164" s="4" t="s">
        <v>53</v>
      </c>
      <c r="E164" s="4" t="s">
        <v>54</v>
      </c>
      <c r="F164" s="4">
        <v>19</v>
      </c>
      <c r="G164" s="4">
        <v>0</v>
      </c>
      <c r="H164" s="4">
        <v>1</v>
      </c>
      <c r="I164" s="4">
        <v>0</v>
      </c>
      <c r="J164">
        <v>17</v>
      </c>
      <c r="K164">
        <v>22</v>
      </c>
      <c r="L164">
        <v>8</v>
      </c>
      <c r="M164">
        <f t="shared" si="14"/>
        <v>323</v>
      </c>
      <c r="N164">
        <f t="shared" si="15"/>
        <v>0</v>
      </c>
      <c r="O164">
        <f t="shared" si="16"/>
        <v>8</v>
      </c>
      <c r="P164">
        <f t="shared" si="17"/>
        <v>0</v>
      </c>
      <c r="Q164">
        <f t="shared" si="18"/>
        <v>331</v>
      </c>
      <c r="R164">
        <f t="shared" si="19"/>
        <v>3.31</v>
      </c>
      <c r="S164">
        <f t="shared" si="20"/>
        <v>327.69</v>
      </c>
      <c r="T164" t="s">
        <v>25</v>
      </c>
    </row>
    <row r="165" spans="1:20">
      <c r="A165" s="4">
        <v>4355349</v>
      </c>
      <c r="B165" s="5">
        <v>45513</v>
      </c>
      <c r="C165" s="4" t="s">
        <v>79</v>
      </c>
      <c r="D165" s="4" t="s">
        <v>53</v>
      </c>
      <c r="E165" s="4" t="s">
        <v>54</v>
      </c>
      <c r="F165" s="4">
        <v>32</v>
      </c>
      <c r="G165" s="4">
        <v>0</v>
      </c>
      <c r="H165" s="4">
        <v>4</v>
      </c>
      <c r="I165" s="4">
        <v>0</v>
      </c>
      <c r="J165">
        <v>17</v>
      </c>
      <c r="K165">
        <v>22</v>
      </c>
      <c r="L165">
        <v>8</v>
      </c>
      <c r="M165">
        <f t="shared" si="14"/>
        <v>544</v>
      </c>
      <c r="N165">
        <f t="shared" si="15"/>
        <v>0</v>
      </c>
      <c r="O165">
        <f t="shared" si="16"/>
        <v>32</v>
      </c>
      <c r="P165">
        <f t="shared" si="17"/>
        <v>0</v>
      </c>
      <c r="Q165">
        <f t="shared" si="18"/>
        <v>576</v>
      </c>
      <c r="R165">
        <f t="shared" si="19"/>
        <v>5.76</v>
      </c>
      <c r="S165">
        <f t="shared" si="20"/>
        <v>570.24</v>
      </c>
      <c r="T165" t="s">
        <v>25</v>
      </c>
    </row>
    <row r="166" spans="1:20">
      <c r="A166" s="4">
        <v>4355349</v>
      </c>
      <c r="B166" s="5">
        <v>45514</v>
      </c>
      <c r="C166" s="4" t="s">
        <v>79</v>
      </c>
      <c r="D166" s="4" t="s">
        <v>53</v>
      </c>
      <c r="E166" s="4" t="s">
        <v>54</v>
      </c>
      <c r="F166" s="4">
        <v>40</v>
      </c>
      <c r="G166" s="4">
        <v>0</v>
      </c>
      <c r="H166" s="4">
        <v>6</v>
      </c>
      <c r="I166" s="4">
        <v>0</v>
      </c>
      <c r="J166">
        <v>17</v>
      </c>
      <c r="K166">
        <v>22</v>
      </c>
      <c r="L166">
        <v>8</v>
      </c>
      <c r="M166">
        <f t="shared" si="14"/>
        <v>680</v>
      </c>
      <c r="N166">
        <f t="shared" si="15"/>
        <v>0</v>
      </c>
      <c r="O166">
        <f t="shared" si="16"/>
        <v>48</v>
      </c>
      <c r="P166">
        <f t="shared" si="17"/>
        <v>0</v>
      </c>
      <c r="Q166">
        <f t="shared" si="18"/>
        <v>728</v>
      </c>
      <c r="R166">
        <f t="shared" si="19"/>
        <v>7.28</v>
      </c>
      <c r="S166">
        <f t="shared" si="20"/>
        <v>720.72</v>
      </c>
      <c r="T166" t="s">
        <v>25</v>
      </c>
    </row>
    <row r="167" spans="1:20">
      <c r="A167" s="4">
        <v>4355349</v>
      </c>
      <c r="B167" s="5">
        <v>45515</v>
      </c>
      <c r="C167" s="4" t="s">
        <v>79</v>
      </c>
      <c r="D167" s="4" t="s">
        <v>53</v>
      </c>
      <c r="E167" s="4" t="s">
        <v>54</v>
      </c>
      <c r="F167" s="4">
        <v>28</v>
      </c>
      <c r="G167" s="4">
        <v>0</v>
      </c>
      <c r="H167" s="4">
        <v>6</v>
      </c>
      <c r="I167" s="4">
        <v>0</v>
      </c>
      <c r="J167">
        <v>17</v>
      </c>
      <c r="K167">
        <v>22</v>
      </c>
      <c r="L167">
        <v>8</v>
      </c>
      <c r="M167">
        <f t="shared" si="14"/>
        <v>476</v>
      </c>
      <c r="N167">
        <f t="shared" si="15"/>
        <v>0</v>
      </c>
      <c r="O167">
        <f t="shared" si="16"/>
        <v>48</v>
      </c>
      <c r="P167">
        <f t="shared" si="17"/>
        <v>0</v>
      </c>
      <c r="Q167">
        <f t="shared" si="18"/>
        <v>524</v>
      </c>
      <c r="R167">
        <f t="shared" si="19"/>
        <v>5.24</v>
      </c>
      <c r="S167">
        <f t="shared" si="20"/>
        <v>518.76</v>
      </c>
      <c r="T167" t="s">
        <v>25</v>
      </c>
    </row>
    <row r="168" spans="1:20">
      <c r="A168" s="4">
        <v>4410017</v>
      </c>
      <c r="B168" s="5">
        <v>45509</v>
      </c>
      <c r="C168" s="4" t="s">
        <v>80</v>
      </c>
      <c r="D168" s="4" t="s">
        <v>34</v>
      </c>
      <c r="E168" s="4" t="s">
        <v>24</v>
      </c>
      <c r="F168" s="4">
        <v>38</v>
      </c>
      <c r="G168" s="4">
        <v>5</v>
      </c>
      <c r="H168" s="4">
        <v>9</v>
      </c>
      <c r="I168" s="4">
        <v>0</v>
      </c>
      <c r="J168">
        <v>17</v>
      </c>
      <c r="K168">
        <v>22</v>
      </c>
      <c r="L168">
        <v>8</v>
      </c>
      <c r="M168">
        <f t="shared" si="14"/>
        <v>646</v>
      </c>
      <c r="N168">
        <f t="shared" si="15"/>
        <v>110</v>
      </c>
      <c r="O168">
        <f t="shared" si="16"/>
        <v>72</v>
      </c>
      <c r="P168">
        <f t="shared" si="17"/>
        <v>0</v>
      </c>
      <c r="Q168">
        <f t="shared" si="18"/>
        <v>828</v>
      </c>
      <c r="R168">
        <f t="shared" si="19"/>
        <v>8.28</v>
      </c>
      <c r="S168">
        <f t="shared" si="20"/>
        <v>819.72</v>
      </c>
      <c r="T168" t="s">
        <v>25</v>
      </c>
    </row>
    <row r="169" spans="1:20">
      <c r="A169" s="4">
        <v>4410017</v>
      </c>
      <c r="B169" s="5">
        <v>45510</v>
      </c>
      <c r="C169" s="4" t="s">
        <v>80</v>
      </c>
      <c r="D169" s="4" t="s">
        <v>34</v>
      </c>
      <c r="E169" s="4" t="s">
        <v>24</v>
      </c>
      <c r="F169" s="4">
        <v>28</v>
      </c>
      <c r="G169" s="4">
        <v>13</v>
      </c>
      <c r="H169" s="4">
        <v>9</v>
      </c>
      <c r="I169" s="4">
        <v>0</v>
      </c>
      <c r="J169">
        <v>17</v>
      </c>
      <c r="K169">
        <v>22</v>
      </c>
      <c r="L169">
        <v>8</v>
      </c>
      <c r="M169">
        <f t="shared" si="14"/>
        <v>476</v>
      </c>
      <c r="N169">
        <f t="shared" si="15"/>
        <v>286</v>
      </c>
      <c r="O169">
        <f t="shared" si="16"/>
        <v>72</v>
      </c>
      <c r="P169">
        <f t="shared" si="17"/>
        <v>0</v>
      </c>
      <c r="Q169">
        <f t="shared" si="18"/>
        <v>834</v>
      </c>
      <c r="R169">
        <f t="shared" si="19"/>
        <v>8.34</v>
      </c>
      <c r="S169">
        <f t="shared" si="20"/>
        <v>825.66</v>
      </c>
      <c r="T169" t="s">
        <v>25</v>
      </c>
    </row>
    <row r="170" spans="1:20">
      <c r="A170" s="4">
        <v>4410017</v>
      </c>
      <c r="B170" s="5">
        <v>45511</v>
      </c>
      <c r="C170" s="4" t="s">
        <v>80</v>
      </c>
      <c r="D170" s="4" t="s">
        <v>34</v>
      </c>
      <c r="E170" s="4" t="s">
        <v>24</v>
      </c>
      <c r="F170" s="4">
        <v>27</v>
      </c>
      <c r="G170" s="4">
        <v>4</v>
      </c>
      <c r="H170" s="4">
        <v>2</v>
      </c>
      <c r="I170" s="4">
        <v>0</v>
      </c>
      <c r="J170">
        <v>17</v>
      </c>
      <c r="K170">
        <v>22</v>
      </c>
      <c r="L170">
        <v>8</v>
      </c>
      <c r="M170">
        <f t="shared" si="14"/>
        <v>459</v>
      </c>
      <c r="N170">
        <f t="shared" si="15"/>
        <v>88</v>
      </c>
      <c r="O170">
        <f t="shared" si="16"/>
        <v>16</v>
      </c>
      <c r="P170">
        <f t="shared" si="17"/>
        <v>0</v>
      </c>
      <c r="Q170">
        <f t="shared" si="18"/>
        <v>563</v>
      </c>
      <c r="R170">
        <f t="shared" si="19"/>
        <v>5.63</v>
      </c>
      <c r="S170">
        <f t="shared" si="20"/>
        <v>557.37</v>
      </c>
      <c r="T170" t="s">
        <v>25</v>
      </c>
    </row>
    <row r="171" spans="1:20">
      <c r="A171" s="4">
        <v>4410017</v>
      </c>
      <c r="B171" s="5">
        <v>45512</v>
      </c>
      <c r="C171" s="4" t="s">
        <v>80</v>
      </c>
      <c r="D171" s="4" t="s">
        <v>34</v>
      </c>
      <c r="E171" s="4" t="s">
        <v>24</v>
      </c>
      <c r="F171" s="4">
        <v>11</v>
      </c>
      <c r="G171" s="4">
        <v>0</v>
      </c>
      <c r="H171" s="4">
        <v>4</v>
      </c>
      <c r="I171" s="4">
        <v>0</v>
      </c>
      <c r="J171">
        <v>17</v>
      </c>
      <c r="K171">
        <v>22</v>
      </c>
      <c r="L171">
        <v>8</v>
      </c>
      <c r="M171">
        <f t="shared" si="14"/>
        <v>187</v>
      </c>
      <c r="N171">
        <f t="shared" si="15"/>
        <v>0</v>
      </c>
      <c r="O171">
        <f t="shared" si="16"/>
        <v>32</v>
      </c>
      <c r="P171">
        <f t="shared" si="17"/>
        <v>0</v>
      </c>
      <c r="Q171">
        <f t="shared" si="18"/>
        <v>219</v>
      </c>
      <c r="R171">
        <f t="shared" si="19"/>
        <v>2.19</v>
      </c>
      <c r="S171">
        <f t="shared" si="20"/>
        <v>216.81</v>
      </c>
      <c r="T171" t="s">
        <v>25</v>
      </c>
    </row>
    <row r="172" spans="1:20">
      <c r="A172" s="4">
        <v>4410017</v>
      </c>
      <c r="B172" s="5">
        <v>45513</v>
      </c>
      <c r="C172" s="4" t="s">
        <v>80</v>
      </c>
      <c r="D172" s="4" t="s">
        <v>34</v>
      </c>
      <c r="E172" s="4" t="s">
        <v>24</v>
      </c>
      <c r="F172" s="4">
        <v>4</v>
      </c>
      <c r="G172" s="4">
        <v>0</v>
      </c>
      <c r="H172" s="4">
        <v>1</v>
      </c>
      <c r="I172" s="4">
        <v>0</v>
      </c>
      <c r="J172">
        <v>17</v>
      </c>
      <c r="K172">
        <v>22</v>
      </c>
      <c r="L172">
        <v>8</v>
      </c>
      <c r="M172">
        <f t="shared" si="14"/>
        <v>68</v>
      </c>
      <c r="N172">
        <f t="shared" si="15"/>
        <v>0</v>
      </c>
      <c r="O172">
        <f t="shared" si="16"/>
        <v>8</v>
      </c>
      <c r="P172">
        <f t="shared" si="17"/>
        <v>0</v>
      </c>
      <c r="Q172">
        <f t="shared" si="18"/>
        <v>76</v>
      </c>
      <c r="R172">
        <f t="shared" si="19"/>
        <v>0.76</v>
      </c>
      <c r="S172">
        <f t="shared" si="20"/>
        <v>75.24</v>
      </c>
      <c r="T172" t="s">
        <v>25</v>
      </c>
    </row>
    <row r="173" spans="1:20">
      <c r="A173" s="4">
        <v>4410017</v>
      </c>
      <c r="B173" s="5">
        <v>45515</v>
      </c>
      <c r="C173" s="4" t="s">
        <v>80</v>
      </c>
      <c r="D173" s="4" t="s">
        <v>34</v>
      </c>
      <c r="E173" s="4" t="s">
        <v>24</v>
      </c>
      <c r="F173" s="4">
        <v>29</v>
      </c>
      <c r="G173" s="4">
        <v>0</v>
      </c>
      <c r="H173" s="4">
        <v>1</v>
      </c>
      <c r="I173" s="4">
        <v>0</v>
      </c>
      <c r="J173">
        <v>17</v>
      </c>
      <c r="K173">
        <v>22</v>
      </c>
      <c r="L173">
        <v>8</v>
      </c>
      <c r="M173">
        <f t="shared" si="14"/>
        <v>493</v>
      </c>
      <c r="N173">
        <f t="shared" si="15"/>
        <v>0</v>
      </c>
      <c r="O173">
        <f t="shared" si="16"/>
        <v>8</v>
      </c>
      <c r="P173">
        <f t="shared" si="17"/>
        <v>0</v>
      </c>
      <c r="Q173">
        <f t="shared" si="18"/>
        <v>501</v>
      </c>
      <c r="R173">
        <f t="shared" si="19"/>
        <v>5.01</v>
      </c>
      <c r="S173">
        <f t="shared" si="20"/>
        <v>495.99</v>
      </c>
      <c r="T173" t="s">
        <v>25</v>
      </c>
    </row>
    <row r="174" spans="1:20">
      <c r="A174" s="4">
        <v>4503785</v>
      </c>
      <c r="B174" s="5">
        <v>45510</v>
      </c>
      <c r="C174" s="4" t="s">
        <v>45</v>
      </c>
      <c r="D174" s="4" t="s">
        <v>58</v>
      </c>
      <c r="E174" s="4" t="s">
        <v>24</v>
      </c>
      <c r="F174" s="4">
        <v>35</v>
      </c>
      <c r="G174" s="4">
        <v>0</v>
      </c>
      <c r="H174" s="4">
        <v>7</v>
      </c>
      <c r="I174" s="4">
        <v>0</v>
      </c>
      <c r="J174">
        <v>17</v>
      </c>
      <c r="K174">
        <v>22</v>
      </c>
      <c r="L174">
        <v>8</v>
      </c>
      <c r="M174">
        <f t="shared" si="14"/>
        <v>595</v>
      </c>
      <c r="N174">
        <f t="shared" si="15"/>
        <v>0</v>
      </c>
      <c r="O174">
        <f t="shared" si="16"/>
        <v>56</v>
      </c>
      <c r="P174">
        <f t="shared" si="17"/>
        <v>0</v>
      </c>
      <c r="Q174">
        <f t="shared" si="18"/>
        <v>651</v>
      </c>
      <c r="R174">
        <f t="shared" si="19"/>
        <v>6.51</v>
      </c>
      <c r="S174">
        <f t="shared" si="20"/>
        <v>644.49</v>
      </c>
      <c r="T174" t="s">
        <v>25</v>
      </c>
    </row>
    <row r="175" spans="1:20">
      <c r="A175" s="4">
        <v>4503785</v>
      </c>
      <c r="B175" s="5">
        <v>45512</v>
      </c>
      <c r="C175" s="4" t="s">
        <v>45</v>
      </c>
      <c r="D175" s="4" t="s">
        <v>58</v>
      </c>
      <c r="E175" s="4" t="s">
        <v>24</v>
      </c>
      <c r="F175" s="4">
        <v>42</v>
      </c>
      <c r="G175" s="4">
        <v>0</v>
      </c>
      <c r="H175" s="4">
        <v>8</v>
      </c>
      <c r="I175" s="4">
        <v>0</v>
      </c>
      <c r="J175">
        <v>17</v>
      </c>
      <c r="K175">
        <v>22</v>
      </c>
      <c r="L175">
        <v>8</v>
      </c>
      <c r="M175">
        <f t="shared" si="14"/>
        <v>714</v>
      </c>
      <c r="N175">
        <f t="shared" si="15"/>
        <v>0</v>
      </c>
      <c r="O175">
        <f t="shared" si="16"/>
        <v>64</v>
      </c>
      <c r="P175">
        <f t="shared" si="17"/>
        <v>0</v>
      </c>
      <c r="Q175">
        <f t="shared" si="18"/>
        <v>778</v>
      </c>
      <c r="R175">
        <f t="shared" si="19"/>
        <v>7.78</v>
      </c>
      <c r="S175">
        <f t="shared" si="20"/>
        <v>770.22</v>
      </c>
      <c r="T175" t="s">
        <v>25</v>
      </c>
    </row>
    <row r="176" spans="1:20">
      <c r="A176" s="4">
        <v>4503785</v>
      </c>
      <c r="B176" s="5">
        <v>45513</v>
      </c>
      <c r="C176" s="4" t="s">
        <v>45</v>
      </c>
      <c r="D176" s="4" t="s">
        <v>58</v>
      </c>
      <c r="E176" s="4" t="s">
        <v>24</v>
      </c>
      <c r="F176" s="4">
        <v>34</v>
      </c>
      <c r="G176" s="4">
        <v>0</v>
      </c>
      <c r="H176" s="4">
        <v>4</v>
      </c>
      <c r="I176" s="4">
        <v>0</v>
      </c>
      <c r="J176">
        <v>17</v>
      </c>
      <c r="K176">
        <v>22</v>
      </c>
      <c r="L176">
        <v>8</v>
      </c>
      <c r="M176">
        <f t="shared" si="14"/>
        <v>578</v>
      </c>
      <c r="N176">
        <f t="shared" si="15"/>
        <v>0</v>
      </c>
      <c r="O176">
        <f t="shared" si="16"/>
        <v>32</v>
      </c>
      <c r="P176">
        <f t="shared" si="17"/>
        <v>0</v>
      </c>
      <c r="Q176">
        <f t="shared" si="18"/>
        <v>610</v>
      </c>
      <c r="R176">
        <f t="shared" si="19"/>
        <v>6.1</v>
      </c>
      <c r="S176">
        <f t="shared" si="20"/>
        <v>603.9</v>
      </c>
      <c r="T176" t="s">
        <v>25</v>
      </c>
    </row>
    <row r="177" spans="1:20">
      <c r="A177" s="4">
        <v>4503785</v>
      </c>
      <c r="B177" s="5">
        <v>45514</v>
      </c>
      <c r="C177" s="4" t="s">
        <v>45</v>
      </c>
      <c r="D177" s="4" t="s">
        <v>58</v>
      </c>
      <c r="E177" s="4" t="s">
        <v>24</v>
      </c>
      <c r="F177" s="4">
        <v>52</v>
      </c>
      <c r="G177" s="4">
        <v>0</v>
      </c>
      <c r="H177" s="4">
        <v>9</v>
      </c>
      <c r="I177" s="4">
        <v>0</v>
      </c>
      <c r="J177">
        <v>17</v>
      </c>
      <c r="K177">
        <v>22</v>
      </c>
      <c r="L177">
        <v>8</v>
      </c>
      <c r="M177">
        <f t="shared" si="14"/>
        <v>884</v>
      </c>
      <c r="N177">
        <f t="shared" si="15"/>
        <v>0</v>
      </c>
      <c r="O177">
        <f t="shared" si="16"/>
        <v>72</v>
      </c>
      <c r="P177">
        <f t="shared" si="17"/>
        <v>0</v>
      </c>
      <c r="Q177">
        <f t="shared" si="18"/>
        <v>956</v>
      </c>
      <c r="R177">
        <f t="shared" si="19"/>
        <v>9.56</v>
      </c>
      <c r="S177">
        <f t="shared" si="20"/>
        <v>946.44</v>
      </c>
      <c r="T177" t="s">
        <v>25</v>
      </c>
    </row>
    <row r="178" spans="1:20">
      <c r="A178" s="4">
        <v>4514679</v>
      </c>
      <c r="B178" s="5">
        <v>45509</v>
      </c>
      <c r="C178" s="4" t="s">
        <v>81</v>
      </c>
      <c r="D178" s="4" t="s">
        <v>27</v>
      </c>
      <c r="E178" s="4" t="s">
        <v>24</v>
      </c>
      <c r="F178" s="4">
        <v>0</v>
      </c>
      <c r="G178" s="4">
        <v>19</v>
      </c>
      <c r="H178" s="4">
        <v>3</v>
      </c>
      <c r="I178" s="4">
        <v>0</v>
      </c>
      <c r="J178">
        <v>17</v>
      </c>
      <c r="K178">
        <v>22</v>
      </c>
      <c r="L178">
        <v>8</v>
      </c>
      <c r="M178">
        <f t="shared" si="14"/>
        <v>0</v>
      </c>
      <c r="N178">
        <f t="shared" si="15"/>
        <v>418</v>
      </c>
      <c r="O178">
        <f t="shared" si="16"/>
        <v>24</v>
      </c>
      <c r="P178">
        <f t="shared" si="17"/>
        <v>0</v>
      </c>
      <c r="Q178">
        <f t="shared" si="18"/>
        <v>442</v>
      </c>
      <c r="R178">
        <f t="shared" si="19"/>
        <v>4.42</v>
      </c>
      <c r="S178">
        <f t="shared" si="20"/>
        <v>437.58</v>
      </c>
      <c r="T178" t="s">
        <v>25</v>
      </c>
    </row>
    <row r="179" spans="1:20">
      <c r="A179" s="4">
        <v>4514679</v>
      </c>
      <c r="B179" s="5">
        <v>45511</v>
      </c>
      <c r="C179" s="4" t="s">
        <v>81</v>
      </c>
      <c r="D179" s="4" t="s">
        <v>27</v>
      </c>
      <c r="E179" s="4" t="s">
        <v>24</v>
      </c>
      <c r="F179" s="4">
        <v>2</v>
      </c>
      <c r="G179" s="4">
        <v>0</v>
      </c>
      <c r="H179" s="4">
        <v>0</v>
      </c>
      <c r="I179" s="4">
        <v>0</v>
      </c>
      <c r="J179">
        <v>17</v>
      </c>
      <c r="K179">
        <v>22</v>
      </c>
      <c r="L179">
        <v>8</v>
      </c>
      <c r="M179">
        <f t="shared" si="14"/>
        <v>34</v>
      </c>
      <c r="N179">
        <f t="shared" si="15"/>
        <v>0</v>
      </c>
      <c r="O179">
        <f t="shared" si="16"/>
        <v>0</v>
      </c>
      <c r="P179">
        <f t="shared" si="17"/>
        <v>0</v>
      </c>
      <c r="Q179">
        <f t="shared" si="18"/>
        <v>34</v>
      </c>
      <c r="R179">
        <f t="shared" si="19"/>
        <v>0.34</v>
      </c>
      <c r="S179">
        <f t="shared" si="20"/>
        <v>33.66</v>
      </c>
      <c r="T179" t="s">
        <v>25</v>
      </c>
    </row>
    <row r="180" spans="1:20">
      <c r="A180" s="4">
        <v>4514679</v>
      </c>
      <c r="B180" s="5">
        <v>45512</v>
      </c>
      <c r="C180" s="4" t="s">
        <v>81</v>
      </c>
      <c r="D180" s="4" t="s">
        <v>27</v>
      </c>
      <c r="E180" s="4" t="s">
        <v>24</v>
      </c>
      <c r="F180" s="4">
        <v>0</v>
      </c>
      <c r="G180" s="4">
        <v>13</v>
      </c>
      <c r="H180" s="4">
        <v>0</v>
      </c>
      <c r="I180" s="4">
        <v>0</v>
      </c>
      <c r="J180">
        <v>17</v>
      </c>
      <c r="K180">
        <v>22</v>
      </c>
      <c r="L180">
        <v>8</v>
      </c>
      <c r="M180">
        <f t="shared" si="14"/>
        <v>0</v>
      </c>
      <c r="N180">
        <f t="shared" si="15"/>
        <v>286</v>
      </c>
      <c r="O180">
        <f t="shared" si="16"/>
        <v>0</v>
      </c>
      <c r="P180">
        <f t="shared" si="17"/>
        <v>0</v>
      </c>
      <c r="Q180">
        <f t="shared" si="18"/>
        <v>286</v>
      </c>
      <c r="R180">
        <f t="shared" si="19"/>
        <v>2.86</v>
      </c>
      <c r="S180">
        <f t="shared" si="20"/>
        <v>283.14</v>
      </c>
      <c r="T180" t="s">
        <v>25</v>
      </c>
    </row>
    <row r="181" spans="1:20">
      <c r="A181" s="4">
        <v>4514679</v>
      </c>
      <c r="B181" s="5">
        <v>45513</v>
      </c>
      <c r="C181" s="4" t="s">
        <v>81</v>
      </c>
      <c r="D181" s="4" t="s">
        <v>27</v>
      </c>
      <c r="E181" s="4" t="s">
        <v>24</v>
      </c>
      <c r="F181" s="4">
        <v>3</v>
      </c>
      <c r="G181" s="4">
        <v>17</v>
      </c>
      <c r="H181" s="4">
        <v>2</v>
      </c>
      <c r="I181" s="4">
        <v>0</v>
      </c>
      <c r="J181">
        <v>17</v>
      </c>
      <c r="K181">
        <v>22</v>
      </c>
      <c r="L181">
        <v>8</v>
      </c>
      <c r="M181">
        <f t="shared" si="14"/>
        <v>51</v>
      </c>
      <c r="N181">
        <f t="shared" si="15"/>
        <v>374</v>
      </c>
      <c r="O181">
        <f t="shared" si="16"/>
        <v>16</v>
      </c>
      <c r="P181">
        <f t="shared" si="17"/>
        <v>0</v>
      </c>
      <c r="Q181">
        <f t="shared" si="18"/>
        <v>441</v>
      </c>
      <c r="R181">
        <f t="shared" si="19"/>
        <v>4.41</v>
      </c>
      <c r="S181">
        <f t="shared" si="20"/>
        <v>436.59</v>
      </c>
      <c r="T181" t="s">
        <v>25</v>
      </c>
    </row>
    <row r="182" spans="1:20">
      <c r="A182" s="4">
        <v>4514679</v>
      </c>
      <c r="B182" s="5">
        <v>45514</v>
      </c>
      <c r="C182" s="4" t="s">
        <v>81</v>
      </c>
      <c r="D182" s="4" t="s">
        <v>27</v>
      </c>
      <c r="E182" s="4" t="s">
        <v>24</v>
      </c>
      <c r="F182" s="4">
        <v>5</v>
      </c>
      <c r="G182" s="4">
        <v>14</v>
      </c>
      <c r="H182" s="4">
        <v>2</v>
      </c>
      <c r="I182" s="4">
        <v>0</v>
      </c>
      <c r="J182">
        <v>17</v>
      </c>
      <c r="K182">
        <v>22</v>
      </c>
      <c r="L182">
        <v>8</v>
      </c>
      <c r="M182">
        <f t="shared" si="14"/>
        <v>85</v>
      </c>
      <c r="N182">
        <f t="shared" si="15"/>
        <v>308</v>
      </c>
      <c r="O182">
        <f t="shared" si="16"/>
        <v>16</v>
      </c>
      <c r="P182">
        <f t="shared" si="17"/>
        <v>0</v>
      </c>
      <c r="Q182">
        <f t="shared" si="18"/>
        <v>409</v>
      </c>
      <c r="R182">
        <f t="shared" si="19"/>
        <v>4.09</v>
      </c>
      <c r="S182">
        <f t="shared" si="20"/>
        <v>404.91</v>
      </c>
      <c r="T182" t="s">
        <v>25</v>
      </c>
    </row>
    <row r="183" spans="1:20">
      <c r="A183" s="4">
        <v>4514679</v>
      </c>
      <c r="B183" s="5">
        <v>45515</v>
      </c>
      <c r="C183" s="4" t="s">
        <v>81</v>
      </c>
      <c r="D183" s="4" t="s">
        <v>27</v>
      </c>
      <c r="E183" s="4" t="s">
        <v>24</v>
      </c>
      <c r="F183" s="4">
        <v>2</v>
      </c>
      <c r="G183" s="4">
        <v>16</v>
      </c>
      <c r="H183" s="4">
        <v>2</v>
      </c>
      <c r="I183" s="4">
        <v>0</v>
      </c>
      <c r="J183">
        <v>17</v>
      </c>
      <c r="K183">
        <v>22</v>
      </c>
      <c r="L183">
        <v>8</v>
      </c>
      <c r="M183">
        <f t="shared" si="14"/>
        <v>34</v>
      </c>
      <c r="N183">
        <f t="shared" si="15"/>
        <v>352</v>
      </c>
      <c r="O183">
        <f t="shared" si="16"/>
        <v>16</v>
      </c>
      <c r="P183">
        <f t="shared" si="17"/>
        <v>0</v>
      </c>
      <c r="Q183">
        <f t="shared" si="18"/>
        <v>402</v>
      </c>
      <c r="R183">
        <f t="shared" si="19"/>
        <v>4.02</v>
      </c>
      <c r="S183">
        <f t="shared" si="20"/>
        <v>397.98</v>
      </c>
      <c r="T183" t="s">
        <v>25</v>
      </c>
    </row>
    <row r="184" spans="1:20">
      <c r="A184" s="4">
        <v>4535655</v>
      </c>
      <c r="B184" s="5">
        <v>45514</v>
      </c>
      <c r="C184" s="4" t="s">
        <v>82</v>
      </c>
      <c r="D184" s="4" t="s">
        <v>65</v>
      </c>
      <c r="E184" s="4" t="s">
        <v>24</v>
      </c>
      <c r="F184" s="4">
        <v>1</v>
      </c>
      <c r="G184" s="4">
        <v>0</v>
      </c>
      <c r="H184" s="4">
        <v>0</v>
      </c>
      <c r="I184" s="4">
        <v>0</v>
      </c>
      <c r="J184">
        <v>17</v>
      </c>
      <c r="K184">
        <v>22</v>
      </c>
      <c r="L184">
        <v>8</v>
      </c>
      <c r="M184">
        <f t="shared" si="14"/>
        <v>17</v>
      </c>
      <c r="N184">
        <f t="shared" si="15"/>
        <v>0</v>
      </c>
      <c r="O184">
        <f t="shared" si="16"/>
        <v>0</v>
      </c>
      <c r="P184">
        <f t="shared" si="17"/>
        <v>0</v>
      </c>
      <c r="Q184">
        <f t="shared" si="18"/>
        <v>17</v>
      </c>
      <c r="R184">
        <f t="shared" si="19"/>
        <v>0.17</v>
      </c>
      <c r="S184">
        <f t="shared" si="20"/>
        <v>16.83</v>
      </c>
      <c r="T184" t="s">
        <v>25</v>
      </c>
    </row>
    <row r="185" spans="1:20">
      <c r="A185" s="4">
        <v>4540573</v>
      </c>
      <c r="B185" s="5">
        <v>45509</v>
      </c>
      <c r="C185" s="4" t="s">
        <v>83</v>
      </c>
      <c r="D185" s="4" t="s">
        <v>84</v>
      </c>
      <c r="E185" s="4" t="s">
        <v>85</v>
      </c>
      <c r="F185" s="4">
        <v>40</v>
      </c>
      <c r="G185" s="4">
        <v>0</v>
      </c>
      <c r="H185" s="4">
        <v>6</v>
      </c>
      <c r="I185" s="4">
        <v>0</v>
      </c>
      <c r="J185">
        <v>17</v>
      </c>
      <c r="K185">
        <v>22</v>
      </c>
      <c r="L185">
        <v>8</v>
      </c>
      <c r="M185">
        <f t="shared" si="14"/>
        <v>680</v>
      </c>
      <c r="N185">
        <f t="shared" si="15"/>
        <v>0</v>
      </c>
      <c r="O185">
        <f t="shared" si="16"/>
        <v>48</v>
      </c>
      <c r="P185">
        <f t="shared" si="17"/>
        <v>0</v>
      </c>
      <c r="Q185">
        <f t="shared" si="18"/>
        <v>728</v>
      </c>
      <c r="R185">
        <f t="shared" si="19"/>
        <v>7.28</v>
      </c>
      <c r="S185">
        <f t="shared" si="20"/>
        <v>720.72</v>
      </c>
      <c r="T185" t="s">
        <v>25</v>
      </c>
    </row>
    <row r="186" spans="1:20">
      <c r="A186" s="4">
        <v>4540573</v>
      </c>
      <c r="B186" s="5">
        <v>45510</v>
      </c>
      <c r="C186" s="4" t="s">
        <v>83</v>
      </c>
      <c r="D186" s="4" t="s">
        <v>84</v>
      </c>
      <c r="E186" s="4" t="s">
        <v>85</v>
      </c>
      <c r="F186" s="4">
        <v>5</v>
      </c>
      <c r="G186" s="4">
        <v>21</v>
      </c>
      <c r="H186" s="4">
        <v>7</v>
      </c>
      <c r="I186" s="4">
        <v>0</v>
      </c>
      <c r="J186">
        <v>17</v>
      </c>
      <c r="K186">
        <v>22</v>
      </c>
      <c r="L186">
        <v>8</v>
      </c>
      <c r="M186">
        <f t="shared" si="14"/>
        <v>85</v>
      </c>
      <c r="N186">
        <f t="shared" si="15"/>
        <v>462</v>
      </c>
      <c r="O186">
        <f t="shared" si="16"/>
        <v>56</v>
      </c>
      <c r="P186">
        <f t="shared" si="17"/>
        <v>0</v>
      </c>
      <c r="Q186">
        <f t="shared" si="18"/>
        <v>603</v>
      </c>
      <c r="R186">
        <f t="shared" si="19"/>
        <v>6.03</v>
      </c>
      <c r="S186">
        <f t="shared" si="20"/>
        <v>596.97</v>
      </c>
      <c r="T186" t="s">
        <v>25</v>
      </c>
    </row>
    <row r="187" spans="1:20">
      <c r="A187" s="4">
        <v>4540573</v>
      </c>
      <c r="B187" s="5">
        <v>45511</v>
      </c>
      <c r="C187" s="4" t="s">
        <v>83</v>
      </c>
      <c r="D187" s="4" t="s">
        <v>84</v>
      </c>
      <c r="E187" s="4" t="s">
        <v>85</v>
      </c>
      <c r="F187" s="4">
        <v>28</v>
      </c>
      <c r="G187" s="4">
        <v>4</v>
      </c>
      <c r="H187" s="4">
        <v>3</v>
      </c>
      <c r="I187" s="4">
        <v>0</v>
      </c>
      <c r="J187">
        <v>17</v>
      </c>
      <c r="K187">
        <v>22</v>
      </c>
      <c r="L187">
        <v>8</v>
      </c>
      <c r="M187">
        <f t="shared" si="14"/>
        <v>476</v>
      </c>
      <c r="N187">
        <f t="shared" si="15"/>
        <v>88</v>
      </c>
      <c r="O187">
        <f t="shared" si="16"/>
        <v>24</v>
      </c>
      <c r="P187">
        <f t="shared" si="17"/>
        <v>0</v>
      </c>
      <c r="Q187">
        <f t="shared" si="18"/>
        <v>588</v>
      </c>
      <c r="R187">
        <f t="shared" si="19"/>
        <v>5.88</v>
      </c>
      <c r="S187">
        <f t="shared" si="20"/>
        <v>582.12</v>
      </c>
      <c r="T187" t="s">
        <v>25</v>
      </c>
    </row>
    <row r="188" spans="1:20">
      <c r="A188" s="4">
        <v>4540573</v>
      </c>
      <c r="B188" s="5">
        <v>45512</v>
      </c>
      <c r="C188" s="4" t="s">
        <v>83</v>
      </c>
      <c r="D188" s="4" t="s">
        <v>84</v>
      </c>
      <c r="E188" s="4" t="s">
        <v>85</v>
      </c>
      <c r="F188" s="4">
        <v>39</v>
      </c>
      <c r="G188" s="4">
        <v>0</v>
      </c>
      <c r="H188" s="4">
        <v>10</v>
      </c>
      <c r="I188" s="4">
        <v>0</v>
      </c>
      <c r="J188">
        <v>17</v>
      </c>
      <c r="K188">
        <v>22</v>
      </c>
      <c r="L188">
        <v>8</v>
      </c>
      <c r="M188">
        <f t="shared" si="14"/>
        <v>663</v>
      </c>
      <c r="N188">
        <f t="shared" si="15"/>
        <v>0</v>
      </c>
      <c r="O188">
        <f t="shared" si="16"/>
        <v>80</v>
      </c>
      <c r="P188">
        <f t="shared" si="17"/>
        <v>0</v>
      </c>
      <c r="Q188">
        <f t="shared" si="18"/>
        <v>743</v>
      </c>
      <c r="R188">
        <f t="shared" si="19"/>
        <v>7.43</v>
      </c>
      <c r="S188">
        <f t="shared" si="20"/>
        <v>735.57</v>
      </c>
      <c r="T188" t="s">
        <v>25</v>
      </c>
    </row>
    <row r="189" spans="1:20">
      <c r="A189" s="4">
        <v>4540573</v>
      </c>
      <c r="B189" s="5">
        <v>45514</v>
      </c>
      <c r="C189" s="4" t="s">
        <v>83</v>
      </c>
      <c r="D189" s="4" t="s">
        <v>84</v>
      </c>
      <c r="E189" s="4" t="s">
        <v>85</v>
      </c>
      <c r="F189" s="4">
        <v>23</v>
      </c>
      <c r="G189" s="4">
        <v>9</v>
      </c>
      <c r="H189" s="4">
        <v>4</v>
      </c>
      <c r="I189" s="4">
        <v>0</v>
      </c>
      <c r="J189">
        <v>17</v>
      </c>
      <c r="K189">
        <v>22</v>
      </c>
      <c r="L189">
        <v>8</v>
      </c>
      <c r="M189">
        <f t="shared" si="14"/>
        <v>391</v>
      </c>
      <c r="N189">
        <f t="shared" si="15"/>
        <v>198</v>
      </c>
      <c r="O189">
        <f t="shared" si="16"/>
        <v>32</v>
      </c>
      <c r="P189">
        <f t="shared" si="17"/>
        <v>0</v>
      </c>
      <c r="Q189">
        <f t="shared" si="18"/>
        <v>621</v>
      </c>
      <c r="R189">
        <f t="shared" si="19"/>
        <v>6.21</v>
      </c>
      <c r="S189">
        <f t="shared" si="20"/>
        <v>614.79</v>
      </c>
      <c r="T189" t="s">
        <v>25</v>
      </c>
    </row>
    <row r="190" spans="1:20">
      <c r="A190" s="4">
        <v>4540573</v>
      </c>
      <c r="B190" s="5">
        <v>45515</v>
      </c>
      <c r="C190" s="4" t="s">
        <v>83</v>
      </c>
      <c r="D190" s="4" t="s">
        <v>84</v>
      </c>
      <c r="E190" s="4" t="s">
        <v>85</v>
      </c>
      <c r="F190" s="4">
        <v>26</v>
      </c>
      <c r="G190" s="4">
        <v>21</v>
      </c>
      <c r="H190" s="4">
        <v>12</v>
      </c>
      <c r="I190" s="4">
        <v>0</v>
      </c>
      <c r="J190">
        <v>17</v>
      </c>
      <c r="K190">
        <v>22</v>
      </c>
      <c r="L190">
        <v>8</v>
      </c>
      <c r="M190">
        <f t="shared" si="14"/>
        <v>442</v>
      </c>
      <c r="N190">
        <f t="shared" si="15"/>
        <v>462</v>
      </c>
      <c r="O190">
        <f t="shared" si="16"/>
        <v>96</v>
      </c>
      <c r="P190">
        <f t="shared" si="17"/>
        <v>0</v>
      </c>
      <c r="Q190">
        <f t="shared" si="18"/>
        <v>1000</v>
      </c>
      <c r="R190">
        <f t="shared" si="19"/>
        <v>10</v>
      </c>
      <c r="S190">
        <f t="shared" si="20"/>
        <v>990</v>
      </c>
      <c r="T190" t="s">
        <v>25</v>
      </c>
    </row>
    <row r="191" spans="1:20">
      <c r="A191" s="4">
        <v>4549744</v>
      </c>
      <c r="B191" s="5">
        <v>45509</v>
      </c>
      <c r="C191" s="4" t="s">
        <v>86</v>
      </c>
      <c r="D191" s="4" t="s">
        <v>87</v>
      </c>
      <c r="E191" s="4" t="s">
        <v>24</v>
      </c>
      <c r="F191" s="4">
        <v>2</v>
      </c>
      <c r="G191" s="4">
        <v>20</v>
      </c>
      <c r="H191" s="4">
        <v>2</v>
      </c>
      <c r="I191" s="4">
        <v>0</v>
      </c>
      <c r="J191">
        <v>17</v>
      </c>
      <c r="K191">
        <v>22</v>
      </c>
      <c r="L191">
        <v>8</v>
      </c>
      <c r="M191">
        <f t="shared" si="14"/>
        <v>34</v>
      </c>
      <c r="N191">
        <f t="shared" si="15"/>
        <v>440</v>
      </c>
      <c r="O191">
        <f t="shared" si="16"/>
        <v>16</v>
      </c>
      <c r="P191">
        <f t="shared" si="17"/>
        <v>0</v>
      </c>
      <c r="Q191">
        <f t="shared" si="18"/>
        <v>490</v>
      </c>
      <c r="R191">
        <f t="shared" si="19"/>
        <v>4.9</v>
      </c>
      <c r="S191">
        <f t="shared" si="20"/>
        <v>485.1</v>
      </c>
      <c r="T191" t="s">
        <v>25</v>
      </c>
    </row>
    <row r="192" spans="1:20">
      <c r="A192" s="4">
        <v>4549744</v>
      </c>
      <c r="B192" s="5">
        <v>45510</v>
      </c>
      <c r="C192" s="4" t="s">
        <v>86</v>
      </c>
      <c r="D192" s="4" t="s">
        <v>87</v>
      </c>
      <c r="E192" s="4" t="s">
        <v>24</v>
      </c>
      <c r="F192" s="4">
        <v>0</v>
      </c>
      <c r="G192" s="4">
        <v>27</v>
      </c>
      <c r="H192" s="4">
        <v>8</v>
      </c>
      <c r="I192" s="4">
        <v>0</v>
      </c>
      <c r="J192">
        <v>17</v>
      </c>
      <c r="K192">
        <v>22</v>
      </c>
      <c r="L192">
        <v>8</v>
      </c>
      <c r="M192">
        <f t="shared" si="14"/>
        <v>0</v>
      </c>
      <c r="N192">
        <f t="shared" si="15"/>
        <v>594</v>
      </c>
      <c r="O192">
        <f t="shared" si="16"/>
        <v>64</v>
      </c>
      <c r="P192">
        <f t="shared" si="17"/>
        <v>0</v>
      </c>
      <c r="Q192">
        <f t="shared" si="18"/>
        <v>658</v>
      </c>
      <c r="R192">
        <f t="shared" si="19"/>
        <v>6.58</v>
      </c>
      <c r="S192">
        <f t="shared" si="20"/>
        <v>651.42</v>
      </c>
      <c r="T192" t="s">
        <v>25</v>
      </c>
    </row>
    <row r="193" spans="1:20">
      <c r="A193" s="4">
        <v>4549744</v>
      </c>
      <c r="B193" s="5">
        <v>45511</v>
      </c>
      <c r="C193" s="4" t="s">
        <v>86</v>
      </c>
      <c r="D193" s="4" t="s">
        <v>87</v>
      </c>
      <c r="E193" s="4" t="s">
        <v>24</v>
      </c>
      <c r="F193" s="4">
        <v>0</v>
      </c>
      <c r="G193" s="4">
        <v>28</v>
      </c>
      <c r="H193" s="4">
        <v>2</v>
      </c>
      <c r="I193" s="4">
        <v>0</v>
      </c>
      <c r="J193">
        <v>17</v>
      </c>
      <c r="K193">
        <v>22</v>
      </c>
      <c r="L193">
        <v>8</v>
      </c>
      <c r="M193">
        <f t="shared" si="14"/>
        <v>0</v>
      </c>
      <c r="N193">
        <f t="shared" si="15"/>
        <v>616</v>
      </c>
      <c r="O193">
        <f t="shared" si="16"/>
        <v>16</v>
      </c>
      <c r="P193">
        <f t="shared" si="17"/>
        <v>0</v>
      </c>
      <c r="Q193">
        <f t="shared" si="18"/>
        <v>632</v>
      </c>
      <c r="R193">
        <f t="shared" si="19"/>
        <v>6.32</v>
      </c>
      <c r="S193">
        <f t="shared" si="20"/>
        <v>625.68</v>
      </c>
      <c r="T193" t="s">
        <v>25</v>
      </c>
    </row>
    <row r="194" spans="1:20">
      <c r="A194" s="4">
        <v>4549744</v>
      </c>
      <c r="B194" s="5">
        <v>45512</v>
      </c>
      <c r="C194" s="4" t="s">
        <v>86</v>
      </c>
      <c r="D194" s="4" t="s">
        <v>87</v>
      </c>
      <c r="E194" s="4" t="s">
        <v>24</v>
      </c>
      <c r="F194" s="4">
        <v>2</v>
      </c>
      <c r="G194" s="4">
        <v>21</v>
      </c>
      <c r="H194" s="4">
        <v>2</v>
      </c>
      <c r="I194" s="4">
        <v>0</v>
      </c>
      <c r="J194">
        <v>17</v>
      </c>
      <c r="K194">
        <v>22</v>
      </c>
      <c r="L194">
        <v>8</v>
      </c>
      <c r="M194">
        <f t="shared" si="14"/>
        <v>34</v>
      </c>
      <c r="N194">
        <f t="shared" si="15"/>
        <v>462</v>
      </c>
      <c r="O194">
        <f t="shared" si="16"/>
        <v>16</v>
      </c>
      <c r="P194">
        <f t="shared" si="17"/>
        <v>0</v>
      </c>
      <c r="Q194">
        <f t="shared" si="18"/>
        <v>512</v>
      </c>
      <c r="R194">
        <f t="shared" si="19"/>
        <v>5.12</v>
      </c>
      <c r="S194">
        <f t="shared" si="20"/>
        <v>506.88</v>
      </c>
      <c r="T194" t="s">
        <v>25</v>
      </c>
    </row>
    <row r="195" spans="1:20">
      <c r="A195" s="4">
        <v>4549744</v>
      </c>
      <c r="B195" s="5">
        <v>45513</v>
      </c>
      <c r="C195" s="4" t="s">
        <v>86</v>
      </c>
      <c r="D195" s="4" t="s">
        <v>87</v>
      </c>
      <c r="E195" s="4" t="s">
        <v>24</v>
      </c>
      <c r="F195" s="4">
        <v>0</v>
      </c>
      <c r="G195" s="4">
        <v>30</v>
      </c>
      <c r="H195" s="4">
        <v>1</v>
      </c>
      <c r="I195" s="4">
        <v>0</v>
      </c>
      <c r="J195">
        <v>17</v>
      </c>
      <c r="K195">
        <v>22</v>
      </c>
      <c r="L195">
        <v>8</v>
      </c>
      <c r="M195">
        <f t="shared" si="14"/>
        <v>0</v>
      </c>
      <c r="N195">
        <f t="shared" si="15"/>
        <v>660</v>
      </c>
      <c r="O195">
        <f t="shared" si="16"/>
        <v>8</v>
      </c>
      <c r="P195">
        <f t="shared" si="17"/>
        <v>0</v>
      </c>
      <c r="Q195">
        <f t="shared" si="18"/>
        <v>668</v>
      </c>
      <c r="R195">
        <f t="shared" si="19"/>
        <v>6.68</v>
      </c>
      <c r="S195">
        <f t="shared" si="20"/>
        <v>661.32</v>
      </c>
      <c r="T195" t="s">
        <v>25</v>
      </c>
    </row>
    <row r="196" spans="1:20">
      <c r="A196" s="4">
        <v>4549744</v>
      </c>
      <c r="B196" s="5">
        <v>45514</v>
      </c>
      <c r="C196" s="4" t="s">
        <v>86</v>
      </c>
      <c r="D196" s="4" t="s">
        <v>87</v>
      </c>
      <c r="E196" s="4" t="s">
        <v>24</v>
      </c>
      <c r="F196" s="4">
        <v>0</v>
      </c>
      <c r="G196" s="4">
        <v>34</v>
      </c>
      <c r="H196" s="4">
        <v>7</v>
      </c>
      <c r="I196" s="4">
        <v>0</v>
      </c>
      <c r="J196">
        <v>17</v>
      </c>
      <c r="K196">
        <v>22</v>
      </c>
      <c r="L196">
        <v>8</v>
      </c>
      <c r="M196">
        <f t="shared" ref="M196:M259" si="21">F196*J196</f>
        <v>0</v>
      </c>
      <c r="N196">
        <f t="shared" ref="N196:N259" si="22">G196*K196</f>
        <v>748</v>
      </c>
      <c r="O196">
        <f t="shared" ref="O196:O259" si="23">H196*L196</f>
        <v>56</v>
      </c>
      <c r="P196">
        <f t="shared" ref="P196:P259" si="24">I196*2.5</f>
        <v>0</v>
      </c>
      <c r="Q196">
        <f t="shared" ref="Q196:Q259" si="25">M196+N196+O196+P196</f>
        <v>804</v>
      </c>
      <c r="R196">
        <f t="shared" ref="R196:R259" si="26">Q196*1%</f>
        <v>8.04</v>
      </c>
      <c r="S196">
        <f t="shared" ref="S196:S259" si="27">Q196-R196</f>
        <v>795.96</v>
      </c>
      <c r="T196" t="s">
        <v>25</v>
      </c>
    </row>
    <row r="197" spans="1:20">
      <c r="A197" s="4">
        <v>4549744</v>
      </c>
      <c r="B197" s="5">
        <v>45515</v>
      </c>
      <c r="C197" s="4" t="s">
        <v>86</v>
      </c>
      <c r="D197" s="4" t="s">
        <v>87</v>
      </c>
      <c r="E197" s="4" t="s">
        <v>24</v>
      </c>
      <c r="F197" s="4">
        <v>0</v>
      </c>
      <c r="G197" s="4">
        <v>31</v>
      </c>
      <c r="H197" s="4">
        <v>4</v>
      </c>
      <c r="I197" s="4">
        <v>0</v>
      </c>
      <c r="J197">
        <v>17</v>
      </c>
      <c r="K197">
        <v>22</v>
      </c>
      <c r="L197">
        <v>8</v>
      </c>
      <c r="M197">
        <f t="shared" si="21"/>
        <v>0</v>
      </c>
      <c r="N197">
        <f t="shared" si="22"/>
        <v>682</v>
      </c>
      <c r="O197">
        <f t="shared" si="23"/>
        <v>32</v>
      </c>
      <c r="P197">
        <f t="shared" si="24"/>
        <v>0</v>
      </c>
      <c r="Q197">
        <f t="shared" si="25"/>
        <v>714</v>
      </c>
      <c r="R197">
        <f t="shared" si="26"/>
        <v>7.14</v>
      </c>
      <c r="S197">
        <f t="shared" si="27"/>
        <v>706.86</v>
      </c>
      <c r="T197" t="s">
        <v>25</v>
      </c>
    </row>
    <row r="198" spans="1:20">
      <c r="A198" s="4">
        <v>4571255</v>
      </c>
      <c r="B198" s="5">
        <v>45509</v>
      </c>
      <c r="C198" s="4" t="s">
        <v>88</v>
      </c>
      <c r="D198" s="4" t="s">
        <v>89</v>
      </c>
      <c r="E198" s="4" t="s">
        <v>24</v>
      </c>
      <c r="F198" s="4">
        <v>0</v>
      </c>
      <c r="G198" s="4">
        <v>0</v>
      </c>
      <c r="H198" s="4">
        <v>0</v>
      </c>
      <c r="I198" s="4">
        <v>0</v>
      </c>
      <c r="J198">
        <v>18</v>
      </c>
      <c r="K198">
        <v>22</v>
      </c>
      <c r="L198">
        <v>8</v>
      </c>
      <c r="M198">
        <f t="shared" si="21"/>
        <v>0</v>
      </c>
      <c r="N198">
        <f t="shared" si="22"/>
        <v>0</v>
      </c>
      <c r="O198">
        <f t="shared" si="23"/>
        <v>0</v>
      </c>
      <c r="P198">
        <f t="shared" si="24"/>
        <v>0</v>
      </c>
      <c r="Q198">
        <f t="shared" si="25"/>
        <v>0</v>
      </c>
      <c r="R198">
        <f t="shared" si="26"/>
        <v>0</v>
      </c>
      <c r="S198">
        <f t="shared" si="27"/>
        <v>0</v>
      </c>
      <c r="T198" t="s">
        <v>25</v>
      </c>
    </row>
    <row r="199" spans="1:20">
      <c r="A199" s="4">
        <v>4571255</v>
      </c>
      <c r="B199" s="5">
        <v>45511</v>
      </c>
      <c r="C199" s="4" t="s">
        <v>88</v>
      </c>
      <c r="D199" s="4" t="s">
        <v>89</v>
      </c>
      <c r="E199" s="4" t="s">
        <v>24</v>
      </c>
      <c r="F199" s="4">
        <v>72</v>
      </c>
      <c r="G199" s="4">
        <v>0</v>
      </c>
      <c r="H199" s="4">
        <v>23</v>
      </c>
      <c r="I199" s="4">
        <v>0</v>
      </c>
      <c r="J199">
        <v>18</v>
      </c>
      <c r="K199">
        <v>22</v>
      </c>
      <c r="L199">
        <v>8</v>
      </c>
      <c r="M199">
        <f t="shared" si="21"/>
        <v>1296</v>
      </c>
      <c r="N199">
        <f t="shared" si="22"/>
        <v>0</v>
      </c>
      <c r="O199">
        <f t="shared" si="23"/>
        <v>184</v>
      </c>
      <c r="P199">
        <f t="shared" si="24"/>
        <v>0</v>
      </c>
      <c r="Q199">
        <f t="shared" si="25"/>
        <v>1480</v>
      </c>
      <c r="R199">
        <f t="shared" si="26"/>
        <v>14.8</v>
      </c>
      <c r="S199">
        <f t="shared" si="27"/>
        <v>1465.2</v>
      </c>
      <c r="T199" t="s">
        <v>25</v>
      </c>
    </row>
    <row r="200" spans="1:20">
      <c r="A200" s="4">
        <v>4571255</v>
      </c>
      <c r="B200" s="5">
        <v>45512</v>
      </c>
      <c r="C200" s="4" t="s">
        <v>88</v>
      </c>
      <c r="D200" s="4" t="s">
        <v>89</v>
      </c>
      <c r="E200" s="4" t="s">
        <v>24</v>
      </c>
      <c r="F200" s="4">
        <v>68</v>
      </c>
      <c r="G200" s="4">
        <v>0</v>
      </c>
      <c r="H200" s="4">
        <v>18</v>
      </c>
      <c r="I200" s="4">
        <v>0</v>
      </c>
      <c r="J200">
        <v>18</v>
      </c>
      <c r="K200">
        <v>22</v>
      </c>
      <c r="L200">
        <v>8</v>
      </c>
      <c r="M200">
        <f t="shared" si="21"/>
        <v>1224</v>
      </c>
      <c r="N200">
        <f t="shared" si="22"/>
        <v>0</v>
      </c>
      <c r="O200">
        <f t="shared" si="23"/>
        <v>144</v>
      </c>
      <c r="P200">
        <f t="shared" si="24"/>
        <v>0</v>
      </c>
      <c r="Q200">
        <f t="shared" si="25"/>
        <v>1368</v>
      </c>
      <c r="R200">
        <f t="shared" si="26"/>
        <v>13.68</v>
      </c>
      <c r="S200">
        <f t="shared" si="27"/>
        <v>1354.32</v>
      </c>
      <c r="T200" t="s">
        <v>25</v>
      </c>
    </row>
    <row r="201" spans="1:20">
      <c r="A201" s="4">
        <v>4571255</v>
      </c>
      <c r="B201" s="5">
        <v>45513</v>
      </c>
      <c r="C201" s="4" t="s">
        <v>88</v>
      </c>
      <c r="D201" s="4" t="s">
        <v>89</v>
      </c>
      <c r="E201" s="4" t="s">
        <v>24</v>
      </c>
      <c r="F201" s="4">
        <v>63</v>
      </c>
      <c r="G201" s="4">
        <v>0</v>
      </c>
      <c r="H201" s="4">
        <v>10</v>
      </c>
      <c r="I201" s="4">
        <v>0</v>
      </c>
      <c r="J201">
        <v>18</v>
      </c>
      <c r="K201">
        <v>22</v>
      </c>
      <c r="L201">
        <v>8</v>
      </c>
      <c r="M201">
        <f t="shared" si="21"/>
        <v>1134</v>
      </c>
      <c r="N201">
        <f t="shared" si="22"/>
        <v>0</v>
      </c>
      <c r="O201">
        <f t="shared" si="23"/>
        <v>80</v>
      </c>
      <c r="P201">
        <f t="shared" si="24"/>
        <v>0</v>
      </c>
      <c r="Q201">
        <f t="shared" si="25"/>
        <v>1214</v>
      </c>
      <c r="R201">
        <f t="shared" si="26"/>
        <v>12.14</v>
      </c>
      <c r="S201">
        <f t="shared" si="27"/>
        <v>1201.86</v>
      </c>
      <c r="T201" t="s">
        <v>25</v>
      </c>
    </row>
    <row r="202" spans="1:20">
      <c r="A202" s="4">
        <v>4571255</v>
      </c>
      <c r="B202" s="5">
        <v>45514</v>
      </c>
      <c r="C202" s="4" t="s">
        <v>88</v>
      </c>
      <c r="D202" s="4" t="s">
        <v>89</v>
      </c>
      <c r="E202" s="4" t="s">
        <v>24</v>
      </c>
      <c r="F202" s="4">
        <v>61</v>
      </c>
      <c r="G202" s="4">
        <v>0</v>
      </c>
      <c r="H202" s="4">
        <v>14</v>
      </c>
      <c r="I202" s="4">
        <v>0</v>
      </c>
      <c r="J202">
        <v>18</v>
      </c>
      <c r="K202">
        <v>22</v>
      </c>
      <c r="L202">
        <v>8</v>
      </c>
      <c r="M202">
        <f t="shared" si="21"/>
        <v>1098</v>
      </c>
      <c r="N202">
        <f t="shared" si="22"/>
        <v>0</v>
      </c>
      <c r="O202">
        <f t="shared" si="23"/>
        <v>112</v>
      </c>
      <c r="P202">
        <f t="shared" si="24"/>
        <v>0</v>
      </c>
      <c r="Q202">
        <f t="shared" si="25"/>
        <v>1210</v>
      </c>
      <c r="R202">
        <f t="shared" si="26"/>
        <v>12.1</v>
      </c>
      <c r="S202">
        <f t="shared" si="27"/>
        <v>1197.9</v>
      </c>
      <c r="T202" t="s">
        <v>25</v>
      </c>
    </row>
    <row r="203" spans="1:20">
      <c r="A203" s="4">
        <v>4573566</v>
      </c>
      <c r="B203" s="5">
        <v>45509</v>
      </c>
      <c r="C203" s="4" t="s">
        <v>90</v>
      </c>
      <c r="D203" s="4" t="s">
        <v>58</v>
      </c>
      <c r="E203" s="4" t="s">
        <v>24</v>
      </c>
      <c r="F203" s="4">
        <v>48</v>
      </c>
      <c r="G203" s="4">
        <v>0</v>
      </c>
      <c r="H203" s="4">
        <v>9</v>
      </c>
      <c r="I203" s="4">
        <v>0</v>
      </c>
      <c r="J203">
        <v>17</v>
      </c>
      <c r="K203">
        <v>22</v>
      </c>
      <c r="L203">
        <v>8</v>
      </c>
      <c r="M203">
        <f t="shared" si="21"/>
        <v>816</v>
      </c>
      <c r="N203">
        <f t="shared" si="22"/>
        <v>0</v>
      </c>
      <c r="O203">
        <f t="shared" si="23"/>
        <v>72</v>
      </c>
      <c r="P203">
        <f t="shared" si="24"/>
        <v>0</v>
      </c>
      <c r="Q203">
        <f t="shared" si="25"/>
        <v>888</v>
      </c>
      <c r="R203">
        <f t="shared" si="26"/>
        <v>8.88</v>
      </c>
      <c r="S203">
        <f t="shared" si="27"/>
        <v>879.12</v>
      </c>
      <c r="T203" t="s">
        <v>25</v>
      </c>
    </row>
    <row r="204" spans="1:20">
      <c r="A204" s="4">
        <v>4573566</v>
      </c>
      <c r="B204" s="5">
        <v>45510</v>
      </c>
      <c r="C204" s="4" t="s">
        <v>90</v>
      </c>
      <c r="D204" s="4" t="s">
        <v>58</v>
      </c>
      <c r="E204" s="4" t="s">
        <v>24</v>
      </c>
      <c r="F204" s="4">
        <v>62</v>
      </c>
      <c r="G204" s="4">
        <v>0</v>
      </c>
      <c r="H204" s="4">
        <v>19</v>
      </c>
      <c r="I204" s="4">
        <v>0</v>
      </c>
      <c r="J204">
        <v>17</v>
      </c>
      <c r="K204">
        <v>22</v>
      </c>
      <c r="L204">
        <v>8</v>
      </c>
      <c r="M204">
        <f t="shared" si="21"/>
        <v>1054</v>
      </c>
      <c r="N204">
        <f t="shared" si="22"/>
        <v>0</v>
      </c>
      <c r="O204">
        <f t="shared" si="23"/>
        <v>152</v>
      </c>
      <c r="P204">
        <f t="shared" si="24"/>
        <v>0</v>
      </c>
      <c r="Q204">
        <f t="shared" si="25"/>
        <v>1206</v>
      </c>
      <c r="R204">
        <f t="shared" si="26"/>
        <v>12.06</v>
      </c>
      <c r="S204">
        <f t="shared" si="27"/>
        <v>1193.94</v>
      </c>
      <c r="T204" t="s">
        <v>25</v>
      </c>
    </row>
    <row r="205" spans="1:20">
      <c r="A205" s="4">
        <v>4573566</v>
      </c>
      <c r="B205" s="5">
        <v>45511</v>
      </c>
      <c r="C205" s="4" t="s">
        <v>90</v>
      </c>
      <c r="D205" s="4" t="s">
        <v>58</v>
      </c>
      <c r="E205" s="4" t="s">
        <v>24</v>
      </c>
      <c r="F205" s="4">
        <v>56</v>
      </c>
      <c r="G205" s="4">
        <v>0</v>
      </c>
      <c r="H205" s="4">
        <v>8</v>
      </c>
      <c r="I205" s="4">
        <v>0</v>
      </c>
      <c r="J205">
        <v>17</v>
      </c>
      <c r="K205">
        <v>22</v>
      </c>
      <c r="L205">
        <v>8</v>
      </c>
      <c r="M205">
        <f t="shared" si="21"/>
        <v>952</v>
      </c>
      <c r="N205">
        <f t="shared" si="22"/>
        <v>0</v>
      </c>
      <c r="O205">
        <f t="shared" si="23"/>
        <v>64</v>
      </c>
      <c r="P205">
        <f t="shared" si="24"/>
        <v>0</v>
      </c>
      <c r="Q205">
        <f t="shared" si="25"/>
        <v>1016</v>
      </c>
      <c r="R205">
        <f t="shared" si="26"/>
        <v>10.16</v>
      </c>
      <c r="S205">
        <f t="shared" si="27"/>
        <v>1005.84</v>
      </c>
      <c r="T205" t="s">
        <v>25</v>
      </c>
    </row>
    <row r="206" spans="1:20">
      <c r="A206" s="4">
        <v>4573566</v>
      </c>
      <c r="B206" s="5">
        <v>45512</v>
      </c>
      <c r="C206" s="4" t="s">
        <v>90</v>
      </c>
      <c r="D206" s="4" t="s">
        <v>58</v>
      </c>
      <c r="E206" s="4" t="s">
        <v>24</v>
      </c>
      <c r="F206" s="4">
        <v>46</v>
      </c>
      <c r="G206" s="4">
        <v>0</v>
      </c>
      <c r="H206" s="4">
        <v>7</v>
      </c>
      <c r="I206" s="4">
        <v>0</v>
      </c>
      <c r="J206">
        <v>17</v>
      </c>
      <c r="K206">
        <v>22</v>
      </c>
      <c r="L206">
        <v>8</v>
      </c>
      <c r="M206">
        <f t="shared" si="21"/>
        <v>782</v>
      </c>
      <c r="N206">
        <f t="shared" si="22"/>
        <v>0</v>
      </c>
      <c r="O206">
        <f t="shared" si="23"/>
        <v>56</v>
      </c>
      <c r="P206">
        <f t="shared" si="24"/>
        <v>0</v>
      </c>
      <c r="Q206">
        <f t="shared" si="25"/>
        <v>838</v>
      </c>
      <c r="R206">
        <f t="shared" si="26"/>
        <v>8.38</v>
      </c>
      <c r="S206">
        <f t="shared" si="27"/>
        <v>829.62</v>
      </c>
      <c r="T206" t="s">
        <v>25</v>
      </c>
    </row>
    <row r="207" spans="1:20">
      <c r="A207" s="4">
        <v>4573566</v>
      </c>
      <c r="B207" s="5">
        <v>45514</v>
      </c>
      <c r="C207" s="4" t="s">
        <v>90</v>
      </c>
      <c r="D207" s="4" t="s">
        <v>58</v>
      </c>
      <c r="E207" s="4" t="s">
        <v>24</v>
      </c>
      <c r="F207" s="4">
        <v>56</v>
      </c>
      <c r="G207" s="4">
        <v>0</v>
      </c>
      <c r="H207" s="4">
        <v>8</v>
      </c>
      <c r="I207" s="4">
        <v>0</v>
      </c>
      <c r="J207">
        <v>17</v>
      </c>
      <c r="K207">
        <v>22</v>
      </c>
      <c r="L207">
        <v>8</v>
      </c>
      <c r="M207">
        <f t="shared" si="21"/>
        <v>952</v>
      </c>
      <c r="N207">
        <f t="shared" si="22"/>
        <v>0</v>
      </c>
      <c r="O207">
        <f t="shared" si="23"/>
        <v>64</v>
      </c>
      <c r="P207">
        <f t="shared" si="24"/>
        <v>0</v>
      </c>
      <c r="Q207">
        <f t="shared" si="25"/>
        <v>1016</v>
      </c>
      <c r="R207">
        <f t="shared" si="26"/>
        <v>10.16</v>
      </c>
      <c r="S207">
        <f t="shared" si="27"/>
        <v>1005.84</v>
      </c>
      <c r="T207" t="s">
        <v>25</v>
      </c>
    </row>
    <row r="208" spans="1:20">
      <c r="A208" s="4">
        <v>4573871</v>
      </c>
      <c r="B208" s="5">
        <v>45510</v>
      </c>
      <c r="C208" s="4" t="s">
        <v>91</v>
      </c>
      <c r="D208" s="4" t="s">
        <v>67</v>
      </c>
      <c r="E208" s="4" t="s">
        <v>24</v>
      </c>
      <c r="F208" s="4">
        <v>19</v>
      </c>
      <c r="G208" s="4">
        <v>0</v>
      </c>
      <c r="H208" s="4">
        <v>0</v>
      </c>
      <c r="I208" s="4">
        <v>0</v>
      </c>
      <c r="J208">
        <v>18</v>
      </c>
      <c r="K208">
        <v>22</v>
      </c>
      <c r="L208">
        <v>8</v>
      </c>
      <c r="M208">
        <f t="shared" si="21"/>
        <v>342</v>
      </c>
      <c r="N208">
        <f t="shared" si="22"/>
        <v>0</v>
      </c>
      <c r="O208">
        <f t="shared" si="23"/>
        <v>0</v>
      </c>
      <c r="P208">
        <f t="shared" si="24"/>
        <v>0</v>
      </c>
      <c r="Q208">
        <f t="shared" si="25"/>
        <v>342</v>
      </c>
      <c r="R208">
        <f t="shared" si="26"/>
        <v>3.42</v>
      </c>
      <c r="S208">
        <f t="shared" si="27"/>
        <v>338.58</v>
      </c>
      <c r="T208" t="s">
        <v>25</v>
      </c>
    </row>
    <row r="209" spans="1:20">
      <c r="A209" s="4">
        <v>4573871</v>
      </c>
      <c r="B209" s="5">
        <v>45511</v>
      </c>
      <c r="C209" s="4" t="s">
        <v>91</v>
      </c>
      <c r="D209" s="4" t="s">
        <v>67</v>
      </c>
      <c r="E209" s="4" t="s">
        <v>24</v>
      </c>
      <c r="F209" s="4">
        <v>31</v>
      </c>
      <c r="G209" s="4">
        <v>0</v>
      </c>
      <c r="H209" s="4">
        <v>20</v>
      </c>
      <c r="I209" s="4">
        <v>0</v>
      </c>
      <c r="J209">
        <v>18</v>
      </c>
      <c r="K209">
        <v>22</v>
      </c>
      <c r="L209">
        <v>8</v>
      </c>
      <c r="M209">
        <f t="shared" si="21"/>
        <v>558</v>
      </c>
      <c r="N209">
        <f t="shared" si="22"/>
        <v>0</v>
      </c>
      <c r="O209">
        <f t="shared" si="23"/>
        <v>160</v>
      </c>
      <c r="P209">
        <f t="shared" si="24"/>
        <v>0</v>
      </c>
      <c r="Q209">
        <f t="shared" si="25"/>
        <v>718</v>
      </c>
      <c r="R209">
        <f t="shared" si="26"/>
        <v>7.18</v>
      </c>
      <c r="S209">
        <f t="shared" si="27"/>
        <v>710.82</v>
      </c>
      <c r="T209" t="s">
        <v>25</v>
      </c>
    </row>
    <row r="210" spans="1:20">
      <c r="A210" s="4">
        <v>4573871</v>
      </c>
      <c r="B210" s="5">
        <v>45512</v>
      </c>
      <c r="C210" s="4" t="s">
        <v>91</v>
      </c>
      <c r="D210" s="4" t="s">
        <v>67</v>
      </c>
      <c r="E210" s="4" t="s">
        <v>24</v>
      </c>
      <c r="F210" s="4">
        <v>59</v>
      </c>
      <c r="G210" s="4">
        <v>0</v>
      </c>
      <c r="H210" s="4">
        <v>20</v>
      </c>
      <c r="I210" s="4">
        <v>0</v>
      </c>
      <c r="J210">
        <v>18</v>
      </c>
      <c r="K210">
        <v>22</v>
      </c>
      <c r="L210">
        <v>8</v>
      </c>
      <c r="M210">
        <f t="shared" si="21"/>
        <v>1062</v>
      </c>
      <c r="N210">
        <f t="shared" si="22"/>
        <v>0</v>
      </c>
      <c r="O210">
        <f t="shared" si="23"/>
        <v>160</v>
      </c>
      <c r="P210">
        <f t="shared" si="24"/>
        <v>0</v>
      </c>
      <c r="Q210">
        <f t="shared" si="25"/>
        <v>1222</v>
      </c>
      <c r="R210">
        <f t="shared" si="26"/>
        <v>12.22</v>
      </c>
      <c r="S210">
        <f t="shared" si="27"/>
        <v>1209.78</v>
      </c>
      <c r="T210" t="s">
        <v>25</v>
      </c>
    </row>
    <row r="211" spans="1:20">
      <c r="A211" s="4">
        <v>4573871</v>
      </c>
      <c r="B211" s="5">
        <v>45513</v>
      </c>
      <c r="C211" s="4" t="s">
        <v>91</v>
      </c>
      <c r="D211" s="4" t="s">
        <v>67</v>
      </c>
      <c r="E211" s="4" t="s">
        <v>24</v>
      </c>
      <c r="F211" s="4">
        <v>68</v>
      </c>
      <c r="G211" s="4">
        <v>0</v>
      </c>
      <c r="H211" s="4">
        <v>21</v>
      </c>
      <c r="I211" s="4">
        <v>0</v>
      </c>
      <c r="J211">
        <v>18</v>
      </c>
      <c r="K211">
        <v>22</v>
      </c>
      <c r="L211">
        <v>8</v>
      </c>
      <c r="M211">
        <f t="shared" si="21"/>
        <v>1224</v>
      </c>
      <c r="N211">
        <f t="shared" si="22"/>
        <v>0</v>
      </c>
      <c r="O211">
        <f t="shared" si="23"/>
        <v>168</v>
      </c>
      <c r="P211">
        <f t="shared" si="24"/>
        <v>0</v>
      </c>
      <c r="Q211">
        <f t="shared" si="25"/>
        <v>1392</v>
      </c>
      <c r="R211">
        <f t="shared" si="26"/>
        <v>13.92</v>
      </c>
      <c r="S211">
        <f t="shared" si="27"/>
        <v>1378.08</v>
      </c>
      <c r="T211" t="s">
        <v>25</v>
      </c>
    </row>
    <row r="212" spans="1:20">
      <c r="A212" s="4">
        <v>4573871</v>
      </c>
      <c r="B212" s="5">
        <v>45514</v>
      </c>
      <c r="C212" s="4" t="s">
        <v>91</v>
      </c>
      <c r="D212" s="4" t="s">
        <v>67</v>
      </c>
      <c r="E212" s="4" t="s">
        <v>24</v>
      </c>
      <c r="F212" s="4">
        <v>28</v>
      </c>
      <c r="G212" s="4">
        <v>0</v>
      </c>
      <c r="H212" s="4">
        <v>19</v>
      </c>
      <c r="I212" s="4">
        <v>0</v>
      </c>
      <c r="J212">
        <v>18</v>
      </c>
      <c r="K212">
        <v>22</v>
      </c>
      <c r="L212">
        <v>8</v>
      </c>
      <c r="M212">
        <f t="shared" si="21"/>
        <v>504</v>
      </c>
      <c r="N212">
        <f t="shared" si="22"/>
        <v>0</v>
      </c>
      <c r="O212">
        <f t="shared" si="23"/>
        <v>152</v>
      </c>
      <c r="P212">
        <f t="shared" si="24"/>
        <v>0</v>
      </c>
      <c r="Q212">
        <f t="shared" si="25"/>
        <v>656</v>
      </c>
      <c r="R212">
        <f t="shared" si="26"/>
        <v>6.56</v>
      </c>
      <c r="S212">
        <f t="shared" si="27"/>
        <v>649.44</v>
      </c>
      <c r="T212" t="s">
        <v>25</v>
      </c>
    </row>
    <row r="213" spans="1:20">
      <c r="A213" s="4">
        <v>4589223</v>
      </c>
      <c r="B213" s="5">
        <v>45509</v>
      </c>
      <c r="C213" s="4" t="s">
        <v>92</v>
      </c>
      <c r="D213" s="4" t="s">
        <v>58</v>
      </c>
      <c r="E213" s="4" t="s">
        <v>24</v>
      </c>
      <c r="F213" s="4">
        <v>34</v>
      </c>
      <c r="G213" s="4">
        <v>0</v>
      </c>
      <c r="H213" s="4">
        <v>11</v>
      </c>
      <c r="I213" s="4">
        <v>0</v>
      </c>
      <c r="J213">
        <v>17</v>
      </c>
      <c r="K213">
        <v>22</v>
      </c>
      <c r="L213">
        <v>8</v>
      </c>
      <c r="M213">
        <f t="shared" si="21"/>
        <v>578</v>
      </c>
      <c r="N213">
        <f t="shared" si="22"/>
        <v>0</v>
      </c>
      <c r="O213">
        <f t="shared" si="23"/>
        <v>88</v>
      </c>
      <c r="P213">
        <f t="shared" si="24"/>
        <v>0</v>
      </c>
      <c r="Q213">
        <f t="shared" si="25"/>
        <v>666</v>
      </c>
      <c r="R213">
        <f t="shared" si="26"/>
        <v>6.66</v>
      </c>
      <c r="S213">
        <f t="shared" si="27"/>
        <v>659.34</v>
      </c>
      <c r="T213" t="s">
        <v>25</v>
      </c>
    </row>
    <row r="214" spans="1:20">
      <c r="A214" s="4">
        <v>4589223</v>
      </c>
      <c r="B214" s="5">
        <v>45510</v>
      </c>
      <c r="C214" s="4" t="s">
        <v>92</v>
      </c>
      <c r="D214" s="4" t="s">
        <v>58</v>
      </c>
      <c r="E214" s="4" t="s">
        <v>24</v>
      </c>
      <c r="F214" s="4">
        <v>64</v>
      </c>
      <c r="G214" s="4">
        <v>0</v>
      </c>
      <c r="H214" s="4">
        <v>12</v>
      </c>
      <c r="I214" s="4">
        <v>0</v>
      </c>
      <c r="J214">
        <v>17</v>
      </c>
      <c r="K214">
        <v>22</v>
      </c>
      <c r="L214">
        <v>8</v>
      </c>
      <c r="M214">
        <f t="shared" si="21"/>
        <v>1088</v>
      </c>
      <c r="N214">
        <f t="shared" si="22"/>
        <v>0</v>
      </c>
      <c r="O214">
        <f t="shared" si="23"/>
        <v>96</v>
      </c>
      <c r="P214">
        <f t="shared" si="24"/>
        <v>0</v>
      </c>
      <c r="Q214">
        <f t="shared" si="25"/>
        <v>1184</v>
      </c>
      <c r="R214">
        <f t="shared" si="26"/>
        <v>11.84</v>
      </c>
      <c r="S214">
        <f t="shared" si="27"/>
        <v>1172.16</v>
      </c>
      <c r="T214" t="s">
        <v>25</v>
      </c>
    </row>
    <row r="215" spans="1:20">
      <c r="A215" s="4">
        <v>4589223</v>
      </c>
      <c r="B215" s="5">
        <v>45511</v>
      </c>
      <c r="C215" s="4" t="s">
        <v>92</v>
      </c>
      <c r="D215" s="4" t="s">
        <v>58</v>
      </c>
      <c r="E215" s="4" t="s">
        <v>24</v>
      </c>
      <c r="F215" s="4">
        <v>66</v>
      </c>
      <c r="G215" s="4">
        <v>1</v>
      </c>
      <c r="H215" s="4">
        <v>12</v>
      </c>
      <c r="I215" s="4">
        <v>0</v>
      </c>
      <c r="J215">
        <v>17</v>
      </c>
      <c r="K215">
        <v>22</v>
      </c>
      <c r="L215">
        <v>8</v>
      </c>
      <c r="M215">
        <f t="shared" si="21"/>
        <v>1122</v>
      </c>
      <c r="N215">
        <f t="shared" si="22"/>
        <v>22</v>
      </c>
      <c r="O215">
        <f t="shared" si="23"/>
        <v>96</v>
      </c>
      <c r="P215">
        <f t="shared" si="24"/>
        <v>0</v>
      </c>
      <c r="Q215">
        <f t="shared" si="25"/>
        <v>1240</v>
      </c>
      <c r="R215">
        <f t="shared" si="26"/>
        <v>12.4</v>
      </c>
      <c r="S215">
        <f t="shared" si="27"/>
        <v>1227.6</v>
      </c>
      <c r="T215" t="s">
        <v>25</v>
      </c>
    </row>
    <row r="216" spans="1:20">
      <c r="A216" s="4">
        <v>4589223</v>
      </c>
      <c r="B216" s="5">
        <v>45512</v>
      </c>
      <c r="C216" s="4" t="s">
        <v>92</v>
      </c>
      <c r="D216" s="4" t="s">
        <v>58</v>
      </c>
      <c r="E216" s="4" t="s">
        <v>24</v>
      </c>
      <c r="F216" s="4">
        <v>82</v>
      </c>
      <c r="G216" s="4">
        <v>0</v>
      </c>
      <c r="H216" s="4">
        <v>8</v>
      </c>
      <c r="I216" s="4">
        <v>0</v>
      </c>
      <c r="J216">
        <v>17</v>
      </c>
      <c r="K216">
        <v>22</v>
      </c>
      <c r="L216">
        <v>8</v>
      </c>
      <c r="M216">
        <f t="shared" si="21"/>
        <v>1394</v>
      </c>
      <c r="N216">
        <f t="shared" si="22"/>
        <v>0</v>
      </c>
      <c r="O216">
        <f t="shared" si="23"/>
        <v>64</v>
      </c>
      <c r="P216">
        <f t="shared" si="24"/>
        <v>0</v>
      </c>
      <c r="Q216">
        <f t="shared" si="25"/>
        <v>1458</v>
      </c>
      <c r="R216">
        <f t="shared" si="26"/>
        <v>14.58</v>
      </c>
      <c r="S216">
        <f t="shared" si="27"/>
        <v>1443.42</v>
      </c>
      <c r="T216" t="s">
        <v>25</v>
      </c>
    </row>
    <row r="217" spans="1:20">
      <c r="A217" s="4">
        <v>4589223</v>
      </c>
      <c r="B217" s="5">
        <v>45514</v>
      </c>
      <c r="C217" s="4" t="s">
        <v>92</v>
      </c>
      <c r="D217" s="4" t="s">
        <v>58</v>
      </c>
      <c r="E217" s="4" t="s">
        <v>24</v>
      </c>
      <c r="F217" s="4">
        <v>77</v>
      </c>
      <c r="G217" s="4">
        <v>0</v>
      </c>
      <c r="H217" s="4">
        <v>22</v>
      </c>
      <c r="I217" s="4">
        <v>0</v>
      </c>
      <c r="J217">
        <v>17</v>
      </c>
      <c r="K217">
        <v>22</v>
      </c>
      <c r="L217">
        <v>8</v>
      </c>
      <c r="M217">
        <f t="shared" si="21"/>
        <v>1309</v>
      </c>
      <c r="N217">
        <f t="shared" si="22"/>
        <v>0</v>
      </c>
      <c r="O217">
        <f t="shared" si="23"/>
        <v>176</v>
      </c>
      <c r="P217">
        <f t="shared" si="24"/>
        <v>0</v>
      </c>
      <c r="Q217">
        <f t="shared" si="25"/>
        <v>1485</v>
      </c>
      <c r="R217">
        <f t="shared" si="26"/>
        <v>14.85</v>
      </c>
      <c r="S217">
        <f t="shared" si="27"/>
        <v>1470.15</v>
      </c>
      <c r="T217" t="s">
        <v>25</v>
      </c>
    </row>
    <row r="218" spans="1:20">
      <c r="A218" s="4">
        <v>4589223</v>
      </c>
      <c r="B218" s="5">
        <v>45515</v>
      </c>
      <c r="C218" s="4" t="s">
        <v>92</v>
      </c>
      <c r="D218" s="4" t="s">
        <v>58</v>
      </c>
      <c r="E218" s="4" t="s">
        <v>24</v>
      </c>
      <c r="F218" s="4">
        <v>54</v>
      </c>
      <c r="G218" s="4">
        <v>0</v>
      </c>
      <c r="H218" s="4">
        <v>11</v>
      </c>
      <c r="I218" s="4">
        <v>0</v>
      </c>
      <c r="J218">
        <v>17</v>
      </c>
      <c r="K218">
        <v>22</v>
      </c>
      <c r="L218">
        <v>8</v>
      </c>
      <c r="M218">
        <f t="shared" si="21"/>
        <v>918</v>
      </c>
      <c r="N218">
        <f t="shared" si="22"/>
        <v>0</v>
      </c>
      <c r="O218">
        <f t="shared" si="23"/>
        <v>88</v>
      </c>
      <c r="P218">
        <f t="shared" si="24"/>
        <v>0</v>
      </c>
      <c r="Q218">
        <f t="shared" si="25"/>
        <v>1006</v>
      </c>
      <c r="R218">
        <f t="shared" si="26"/>
        <v>10.06</v>
      </c>
      <c r="S218">
        <f t="shared" si="27"/>
        <v>995.94</v>
      </c>
      <c r="T218" t="s">
        <v>25</v>
      </c>
    </row>
    <row r="219" spans="1:20">
      <c r="A219" s="4">
        <v>4591370</v>
      </c>
      <c r="B219" s="5">
        <v>45509</v>
      </c>
      <c r="C219" s="4" t="s">
        <v>93</v>
      </c>
      <c r="D219" s="4" t="s">
        <v>94</v>
      </c>
      <c r="E219" s="4" t="s">
        <v>24</v>
      </c>
      <c r="F219" s="4">
        <v>25</v>
      </c>
      <c r="G219" s="4">
        <v>0</v>
      </c>
      <c r="H219" s="4">
        <v>1</v>
      </c>
      <c r="I219" s="4">
        <v>0</v>
      </c>
      <c r="J219">
        <v>17</v>
      </c>
      <c r="K219">
        <v>22</v>
      </c>
      <c r="L219">
        <v>8</v>
      </c>
      <c r="M219">
        <f t="shared" si="21"/>
        <v>425</v>
      </c>
      <c r="N219">
        <f t="shared" si="22"/>
        <v>0</v>
      </c>
      <c r="O219">
        <f t="shared" si="23"/>
        <v>8</v>
      </c>
      <c r="P219">
        <f t="shared" si="24"/>
        <v>0</v>
      </c>
      <c r="Q219">
        <f t="shared" si="25"/>
        <v>433</v>
      </c>
      <c r="R219">
        <f t="shared" si="26"/>
        <v>4.33</v>
      </c>
      <c r="S219">
        <f t="shared" si="27"/>
        <v>428.67</v>
      </c>
      <c r="T219" t="s">
        <v>25</v>
      </c>
    </row>
    <row r="220" spans="1:20">
      <c r="A220" s="4">
        <v>4591370</v>
      </c>
      <c r="B220" s="5">
        <v>45510</v>
      </c>
      <c r="C220" s="4" t="s">
        <v>93</v>
      </c>
      <c r="D220" s="4" t="s">
        <v>94</v>
      </c>
      <c r="E220" s="4" t="s">
        <v>24</v>
      </c>
      <c r="F220" s="4">
        <v>22</v>
      </c>
      <c r="G220" s="4">
        <v>25</v>
      </c>
      <c r="H220" s="4">
        <v>6</v>
      </c>
      <c r="I220" s="4">
        <v>0</v>
      </c>
      <c r="J220">
        <v>17</v>
      </c>
      <c r="K220">
        <v>22</v>
      </c>
      <c r="L220">
        <v>8</v>
      </c>
      <c r="M220">
        <f t="shared" si="21"/>
        <v>374</v>
      </c>
      <c r="N220">
        <f t="shared" si="22"/>
        <v>550</v>
      </c>
      <c r="O220">
        <f t="shared" si="23"/>
        <v>48</v>
      </c>
      <c r="P220">
        <f t="shared" si="24"/>
        <v>0</v>
      </c>
      <c r="Q220">
        <f t="shared" si="25"/>
        <v>972</v>
      </c>
      <c r="R220">
        <f t="shared" si="26"/>
        <v>9.72</v>
      </c>
      <c r="S220">
        <f t="shared" si="27"/>
        <v>962.28</v>
      </c>
      <c r="T220" t="s">
        <v>25</v>
      </c>
    </row>
    <row r="221" spans="1:20">
      <c r="A221" s="4">
        <v>4591370</v>
      </c>
      <c r="B221" s="5">
        <v>45511</v>
      </c>
      <c r="C221" s="4" t="s">
        <v>93</v>
      </c>
      <c r="D221" s="4" t="s">
        <v>94</v>
      </c>
      <c r="E221" s="4" t="s">
        <v>24</v>
      </c>
      <c r="F221" s="4">
        <v>18</v>
      </c>
      <c r="G221" s="4">
        <v>22</v>
      </c>
      <c r="H221" s="4">
        <v>5</v>
      </c>
      <c r="I221" s="4">
        <v>0</v>
      </c>
      <c r="J221">
        <v>17</v>
      </c>
      <c r="K221">
        <v>22</v>
      </c>
      <c r="L221">
        <v>8</v>
      </c>
      <c r="M221">
        <f t="shared" si="21"/>
        <v>306</v>
      </c>
      <c r="N221">
        <f t="shared" si="22"/>
        <v>484</v>
      </c>
      <c r="O221">
        <f t="shared" si="23"/>
        <v>40</v>
      </c>
      <c r="P221">
        <f t="shared" si="24"/>
        <v>0</v>
      </c>
      <c r="Q221">
        <f t="shared" si="25"/>
        <v>830</v>
      </c>
      <c r="R221">
        <f t="shared" si="26"/>
        <v>8.3</v>
      </c>
      <c r="S221">
        <f t="shared" si="27"/>
        <v>821.7</v>
      </c>
      <c r="T221" t="s">
        <v>25</v>
      </c>
    </row>
    <row r="222" spans="1:20">
      <c r="A222" s="4">
        <v>4591370</v>
      </c>
      <c r="B222" s="5">
        <v>45513</v>
      </c>
      <c r="C222" s="4" t="s">
        <v>93</v>
      </c>
      <c r="D222" s="4" t="s">
        <v>94</v>
      </c>
      <c r="E222" s="4" t="s">
        <v>24</v>
      </c>
      <c r="F222" s="4">
        <v>43</v>
      </c>
      <c r="G222" s="4">
        <v>20</v>
      </c>
      <c r="H222" s="4">
        <v>4</v>
      </c>
      <c r="I222" s="4">
        <v>0</v>
      </c>
      <c r="J222">
        <v>17</v>
      </c>
      <c r="K222">
        <v>22</v>
      </c>
      <c r="L222">
        <v>8</v>
      </c>
      <c r="M222">
        <f t="shared" si="21"/>
        <v>731</v>
      </c>
      <c r="N222">
        <f t="shared" si="22"/>
        <v>440</v>
      </c>
      <c r="O222">
        <f t="shared" si="23"/>
        <v>32</v>
      </c>
      <c r="P222">
        <f t="shared" si="24"/>
        <v>0</v>
      </c>
      <c r="Q222">
        <f t="shared" si="25"/>
        <v>1203</v>
      </c>
      <c r="R222">
        <f t="shared" si="26"/>
        <v>12.03</v>
      </c>
      <c r="S222">
        <f t="shared" si="27"/>
        <v>1190.97</v>
      </c>
      <c r="T222" t="s">
        <v>25</v>
      </c>
    </row>
    <row r="223" spans="1:20">
      <c r="A223" s="4">
        <v>4591370</v>
      </c>
      <c r="B223" s="5">
        <v>45514</v>
      </c>
      <c r="C223" s="4" t="s">
        <v>93</v>
      </c>
      <c r="D223" s="4" t="s">
        <v>94</v>
      </c>
      <c r="E223" s="4" t="s">
        <v>24</v>
      </c>
      <c r="F223" s="4">
        <v>38</v>
      </c>
      <c r="G223" s="4">
        <v>31</v>
      </c>
      <c r="H223" s="4">
        <v>15</v>
      </c>
      <c r="I223" s="4">
        <v>0</v>
      </c>
      <c r="J223">
        <v>17</v>
      </c>
      <c r="K223">
        <v>22</v>
      </c>
      <c r="L223">
        <v>8</v>
      </c>
      <c r="M223">
        <f t="shared" si="21"/>
        <v>646</v>
      </c>
      <c r="N223">
        <f t="shared" si="22"/>
        <v>682</v>
      </c>
      <c r="O223">
        <f t="shared" si="23"/>
        <v>120</v>
      </c>
      <c r="P223">
        <f t="shared" si="24"/>
        <v>0</v>
      </c>
      <c r="Q223">
        <f t="shared" si="25"/>
        <v>1448</v>
      </c>
      <c r="R223">
        <f t="shared" si="26"/>
        <v>14.48</v>
      </c>
      <c r="S223">
        <f t="shared" si="27"/>
        <v>1433.52</v>
      </c>
      <c r="T223" t="s">
        <v>25</v>
      </c>
    </row>
    <row r="224" spans="1:20">
      <c r="A224" s="4">
        <v>4591370</v>
      </c>
      <c r="B224" s="5">
        <v>45515</v>
      </c>
      <c r="C224" s="4" t="s">
        <v>93</v>
      </c>
      <c r="D224" s="4" t="s">
        <v>94</v>
      </c>
      <c r="E224" s="4" t="s">
        <v>24</v>
      </c>
      <c r="F224" s="4">
        <v>5</v>
      </c>
      <c r="G224" s="4">
        <v>0</v>
      </c>
      <c r="H224" s="4">
        <v>0</v>
      </c>
      <c r="I224" s="4">
        <v>0</v>
      </c>
      <c r="J224">
        <v>17</v>
      </c>
      <c r="K224">
        <v>22</v>
      </c>
      <c r="L224">
        <v>8</v>
      </c>
      <c r="M224">
        <f t="shared" si="21"/>
        <v>85</v>
      </c>
      <c r="N224">
        <f t="shared" si="22"/>
        <v>0</v>
      </c>
      <c r="O224">
        <f t="shared" si="23"/>
        <v>0</v>
      </c>
      <c r="P224">
        <f t="shared" si="24"/>
        <v>0</v>
      </c>
      <c r="Q224">
        <f t="shared" si="25"/>
        <v>85</v>
      </c>
      <c r="R224">
        <f t="shared" si="26"/>
        <v>0.85</v>
      </c>
      <c r="S224">
        <f t="shared" si="27"/>
        <v>84.15</v>
      </c>
      <c r="T224" t="s">
        <v>25</v>
      </c>
    </row>
    <row r="225" spans="1:20">
      <c r="A225" s="4">
        <v>4608063</v>
      </c>
      <c r="B225" s="5">
        <v>45512</v>
      </c>
      <c r="C225" s="4" t="s">
        <v>95</v>
      </c>
      <c r="D225" s="4" t="s">
        <v>34</v>
      </c>
      <c r="E225" s="4" t="s">
        <v>24</v>
      </c>
      <c r="F225" s="4">
        <v>13</v>
      </c>
      <c r="G225" s="4">
        <v>0</v>
      </c>
      <c r="H225" s="4">
        <v>0</v>
      </c>
      <c r="I225" s="4">
        <v>0</v>
      </c>
      <c r="J225">
        <v>17</v>
      </c>
      <c r="K225">
        <v>22</v>
      </c>
      <c r="L225">
        <v>8</v>
      </c>
      <c r="M225">
        <f t="shared" si="21"/>
        <v>221</v>
      </c>
      <c r="N225">
        <f t="shared" si="22"/>
        <v>0</v>
      </c>
      <c r="O225">
        <f t="shared" si="23"/>
        <v>0</v>
      </c>
      <c r="P225">
        <f t="shared" si="24"/>
        <v>0</v>
      </c>
      <c r="Q225">
        <f t="shared" si="25"/>
        <v>221</v>
      </c>
      <c r="R225">
        <f t="shared" si="26"/>
        <v>2.21</v>
      </c>
      <c r="S225">
        <f t="shared" si="27"/>
        <v>218.79</v>
      </c>
      <c r="T225" t="s">
        <v>25</v>
      </c>
    </row>
    <row r="226" spans="1:20">
      <c r="A226" s="4">
        <v>4608063</v>
      </c>
      <c r="B226" s="5">
        <v>45513</v>
      </c>
      <c r="C226" s="4" t="s">
        <v>95</v>
      </c>
      <c r="D226" s="4" t="s">
        <v>34</v>
      </c>
      <c r="E226" s="4" t="s">
        <v>24</v>
      </c>
      <c r="F226" s="4">
        <v>8</v>
      </c>
      <c r="G226" s="4">
        <v>0</v>
      </c>
      <c r="H226" s="4">
        <v>0</v>
      </c>
      <c r="I226" s="4">
        <v>0</v>
      </c>
      <c r="J226">
        <v>17</v>
      </c>
      <c r="K226">
        <v>22</v>
      </c>
      <c r="L226">
        <v>8</v>
      </c>
      <c r="M226">
        <f t="shared" si="21"/>
        <v>136</v>
      </c>
      <c r="N226">
        <f t="shared" si="22"/>
        <v>0</v>
      </c>
      <c r="O226">
        <f t="shared" si="23"/>
        <v>0</v>
      </c>
      <c r="P226">
        <f t="shared" si="24"/>
        <v>0</v>
      </c>
      <c r="Q226">
        <f t="shared" si="25"/>
        <v>136</v>
      </c>
      <c r="R226">
        <f t="shared" si="26"/>
        <v>1.36</v>
      </c>
      <c r="S226">
        <f t="shared" si="27"/>
        <v>134.64</v>
      </c>
      <c r="T226" t="s">
        <v>25</v>
      </c>
    </row>
    <row r="227" spans="1:20">
      <c r="A227" s="4">
        <v>4610666</v>
      </c>
      <c r="B227" s="5">
        <v>45509</v>
      </c>
      <c r="C227" s="4" t="s">
        <v>96</v>
      </c>
      <c r="D227" s="4" t="s">
        <v>29</v>
      </c>
      <c r="E227" s="4" t="s">
        <v>24</v>
      </c>
      <c r="F227" s="4">
        <v>44</v>
      </c>
      <c r="G227" s="4">
        <v>0</v>
      </c>
      <c r="H227" s="4">
        <v>2</v>
      </c>
      <c r="I227" s="4">
        <v>0</v>
      </c>
      <c r="J227">
        <v>17</v>
      </c>
      <c r="K227">
        <v>22</v>
      </c>
      <c r="L227">
        <v>8</v>
      </c>
      <c r="M227">
        <f t="shared" si="21"/>
        <v>748</v>
      </c>
      <c r="N227">
        <f t="shared" si="22"/>
        <v>0</v>
      </c>
      <c r="O227">
        <f t="shared" si="23"/>
        <v>16</v>
      </c>
      <c r="P227">
        <f t="shared" si="24"/>
        <v>0</v>
      </c>
      <c r="Q227">
        <f t="shared" si="25"/>
        <v>764</v>
      </c>
      <c r="R227">
        <f t="shared" si="26"/>
        <v>7.64</v>
      </c>
      <c r="S227">
        <f t="shared" si="27"/>
        <v>756.36</v>
      </c>
      <c r="T227" t="s">
        <v>25</v>
      </c>
    </row>
    <row r="228" spans="1:20">
      <c r="A228" s="4">
        <v>4610666</v>
      </c>
      <c r="B228" s="5">
        <v>45510</v>
      </c>
      <c r="C228" s="4" t="s">
        <v>96</v>
      </c>
      <c r="D228" s="4" t="s">
        <v>29</v>
      </c>
      <c r="E228" s="4" t="s">
        <v>24</v>
      </c>
      <c r="F228" s="4">
        <v>47</v>
      </c>
      <c r="G228" s="4">
        <v>0</v>
      </c>
      <c r="H228" s="4">
        <v>1</v>
      </c>
      <c r="I228" s="4">
        <v>0</v>
      </c>
      <c r="J228">
        <v>17</v>
      </c>
      <c r="K228">
        <v>22</v>
      </c>
      <c r="L228">
        <v>8</v>
      </c>
      <c r="M228">
        <f t="shared" si="21"/>
        <v>799</v>
      </c>
      <c r="N228">
        <f t="shared" si="22"/>
        <v>0</v>
      </c>
      <c r="O228">
        <f t="shared" si="23"/>
        <v>8</v>
      </c>
      <c r="P228">
        <f t="shared" si="24"/>
        <v>0</v>
      </c>
      <c r="Q228">
        <f t="shared" si="25"/>
        <v>807</v>
      </c>
      <c r="R228">
        <f t="shared" si="26"/>
        <v>8.07</v>
      </c>
      <c r="S228">
        <f t="shared" si="27"/>
        <v>798.93</v>
      </c>
      <c r="T228" t="s">
        <v>25</v>
      </c>
    </row>
    <row r="229" spans="1:20">
      <c r="A229" s="4">
        <v>4610666</v>
      </c>
      <c r="B229" s="5">
        <v>45511</v>
      </c>
      <c r="C229" s="4" t="s">
        <v>96</v>
      </c>
      <c r="D229" s="4" t="s">
        <v>29</v>
      </c>
      <c r="E229" s="4" t="s">
        <v>24</v>
      </c>
      <c r="F229" s="4">
        <v>47</v>
      </c>
      <c r="G229" s="4">
        <v>0</v>
      </c>
      <c r="H229" s="4">
        <v>8</v>
      </c>
      <c r="I229" s="4">
        <v>0</v>
      </c>
      <c r="J229">
        <v>17</v>
      </c>
      <c r="K229">
        <v>22</v>
      </c>
      <c r="L229">
        <v>8</v>
      </c>
      <c r="M229">
        <f t="shared" si="21"/>
        <v>799</v>
      </c>
      <c r="N229">
        <f t="shared" si="22"/>
        <v>0</v>
      </c>
      <c r="O229">
        <f t="shared" si="23"/>
        <v>64</v>
      </c>
      <c r="P229">
        <f t="shared" si="24"/>
        <v>0</v>
      </c>
      <c r="Q229">
        <f t="shared" si="25"/>
        <v>863</v>
      </c>
      <c r="R229">
        <f t="shared" si="26"/>
        <v>8.63</v>
      </c>
      <c r="S229">
        <f t="shared" si="27"/>
        <v>854.37</v>
      </c>
      <c r="T229" t="s">
        <v>25</v>
      </c>
    </row>
    <row r="230" spans="1:20">
      <c r="A230" s="4">
        <v>4610666</v>
      </c>
      <c r="B230" s="5">
        <v>45512</v>
      </c>
      <c r="C230" s="4" t="s">
        <v>96</v>
      </c>
      <c r="D230" s="4" t="s">
        <v>29</v>
      </c>
      <c r="E230" s="4" t="s">
        <v>24</v>
      </c>
      <c r="F230" s="4">
        <v>46</v>
      </c>
      <c r="G230" s="4">
        <v>0</v>
      </c>
      <c r="H230" s="4">
        <v>10</v>
      </c>
      <c r="I230" s="4">
        <v>0</v>
      </c>
      <c r="J230">
        <v>17</v>
      </c>
      <c r="K230">
        <v>22</v>
      </c>
      <c r="L230">
        <v>8</v>
      </c>
      <c r="M230">
        <f t="shared" si="21"/>
        <v>782</v>
      </c>
      <c r="N230">
        <f t="shared" si="22"/>
        <v>0</v>
      </c>
      <c r="O230">
        <f t="shared" si="23"/>
        <v>80</v>
      </c>
      <c r="P230">
        <f t="shared" si="24"/>
        <v>0</v>
      </c>
      <c r="Q230">
        <f t="shared" si="25"/>
        <v>862</v>
      </c>
      <c r="R230">
        <f t="shared" si="26"/>
        <v>8.62</v>
      </c>
      <c r="S230">
        <f t="shared" si="27"/>
        <v>853.38</v>
      </c>
      <c r="T230" t="s">
        <v>25</v>
      </c>
    </row>
    <row r="231" spans="1:20">
      <c r="A231" s="4">
        <v>4610666</v>
      </c>
      <c r="B231" s="5">
        <v>45514</v>
      </c>
      <c r="C231" s="4" t="s">
        <v>96</v>
      </c>
      <c r="D231" s="4" t="s">
        <v>29</v>
      </c>
      <c r="E231" s="4" t="s">
        <v>24</v>
      </c>
      <c r="F231" s="4">
        <v>38</v>
      </c>
      <c r="G231" s="4">
        <v>0</v>
      </c>
      <c r="H231" s="4">
        <v>6</v>
      </c>
      <c r="I231" s="4">
        <v>0</v>
      </c>
      <c r="J231">
        <v>17</v>
      </c>
      <c r="K231">
        <v>22</v>
      </c>
      <c r="L231">
        <v>8</v>
      </c>
      <c r="M231">
        <f t="shared" si="21"/>
        <v>646</v>
      </c>
      <c r="N231">
        <f t="shared" si="22"/>
        <v>0</v>
      </c>
      <c r="O231">
        <f t="shared" si="23"/>
        <v>48</v>
      </c>
      <c r="P231">
        <f t="shared" si="24"/>
        <v>0</v>
      </c>
      <c r="Q231">
        <f t="shared" si="25"/>
        <v>694</v>
      </c>
      <c r="R231">
        <f t="shared" si="26"/>
        <v>6.94</v>
      </c>
      <c r="S231">
        <f t="shared" si="27"/>
        <v>687.06</v>
      </c>
      <c r="T231" t="s">
        <v>25</v>
      </c>
    </row>
    <row r="232" spans="1:20">
      <c r="A232" s="4">
        <v>4610666</v>
      </c>
      <c r="B232" s="5">
        <v>45515</v>
      </c>
      <c r="C232" s="4" t="s">
        <v>96</v>
      </c>
      <c r="D232" s="4" t="s">
        <v>29</v>
      </c>
      <c r="E232" s="4" t="s">
        <v>24</v>
      </c>
      <c r="F232" s="4">
        <v>21</v>
      </c>
      <c r="G232" s="4">
        <v>0</v>
      </c>
      <c r="H232" s="4">
        <v>0</v>
      </c>
      <c r="I232" s="4">
        <v>0</v>
      </c>
      <c r="J232">
        <v>17</v>
      </c>
      <c r="K232">
        <v>22</v>
      </c>
      <c r="L232">
        <v>8</v>
      </c>
      <c r="M232">
        <f t="shared" si="21"/>
        <v>357</v>
      </c>
      <c r="N232">
        <f t="shared" si="22"/>
        <v>0</v>
      </c>
      <c r="O232">
        <f t="shared" si="23"/>
        <v>0</v>
      </c>
      <c r="P232">
        <f t="shared" si="24"/>
        <v>0</v>
      </c>
      <c r="Q232">
        <f t="shared" si="25"/>
        <v>357</v>
      </c>
      <c r="R232">
        <f t="shared" si="26"/>
        <v>3.57</v>
      </c>
      <c r="S232">
        <f t="shared" si="27"/>
        <v>353.43</v>
      </c>
      <c r="T232" t="s">
        <v>25</v>
      </c>
    </row>
    <row r="233" spans="1:20">
      <c r="A233" s="4">
        <v>4620826</v>
      </c>
      <c r="B233" s="5">
        <v>45509</v>
      </c>
      <c r="C233" s="4" t="s">
        <v>97</v>
      </c>
      <c r="D233" s="4" t="s">
        <v>98</v>
      </c>
      <c r="E233" s="4" t="s">
        <v>54</v>
      </c>
      <c r="F233" s="4">
        <v>0</v>
      </c>
      <c r="G233" s="4">
        <v>0</v>
      </c>
      <c r="H233" s="4">
        <v>0</v>
      </c>
      <c r="I233" s="4">
        <v>0</v>
      </c>
      <c r="J233">
        <v>17</v>
      </c>
      <c r="K233">
        <v>22</v>
      </c>
      <c r="L233">
        <v>8</v>
      </c>
      <c r="M233">
        <f t="shared" si="21"/>
        <v>0</v>
      </c>
      <c r="N233">
        <f t="shared" si="22"/>
        <v>0</v>
      </c>
      <c r="O233">
        <f t="shared" si="23"/>
        <v>0</v>
      </c>
      <c r="P233">
        <f t="shared" si="24"/>
        <v>0</v>
      </c>
      <c r="Q233">
        <f t="shared" si="25"/>
        <v>0</v>
      </c>
      <c r="R233">
        <f t="shared" si="26"/>
        <v>0</v>
      </c>
      <c r="S233">
        <f t="shared" si="27"/>
        <v>0</v>
      </c>
      <c r="T233" t="s">
        <v>25</v>
      </c>
    </row>
    <row r="234" spans="1:20">
      <c r="A234" s="4">
        <v>4620826</v>
      </c>
      <c r="B234" s="5">
        <v>45510</v>
      </c>
      <c r="C234" s="4" t="s">
        <v>97</v>
      </c>
      <c r="D234" s="4" t="s">
        <v>98</v>
      </c>
      <c r="E234" s="4" t="s">
        <v>54</v>
      </c>
      <c r="F234" s="4">
        <v>37</v>
      </c>
      <c r="G234" s="4">
        <v>0</v>
      </c>
      <c r="H234" s="4">
        <v>3</v>
      </c>
      <c r="I234" s="4">
        <v>0</v>
      </c>
      <c r="J234">
        <v>17</v>
      </c>
      <c r="K234">
        <v>22</v>
      </c>
      <c r="L234">
        <v>8</v>
      </c>
      <c r="M234">
        <f t="shared" si="21"/>
        <v>629</v>
      </c>
      <c r="N234">
        <f t="shared" si="22"/>
        <v>0</v>
      </c>
      <c r="O234">
        <f t="shared" si="23"/>
        <v>24</v>
      </c>
      <c r="P234">
        <f t="shared" si="24"/>
        <v>0</v>
      </c>
      <c r="Q234">
        <f t="shared" si="25"/>
        <v>653</v>
      </c>
      <c r="R234">
        <f t="shared" si="26"/>
        <v>6.53</v>
      </c>
      <c r="S234">
        <f t="shared" si="27"/>
        <v>646.47</v>
      </c>
      <c r="T234" t="s">
        <v>25</v>
      </c>
    </row>
    <row r="235" spans="1:20">
      <c r="A235" s="4">
        <v>4620826</v>
      </c>
      <c r="B235" s="5">
        <v>45511</v>
      </c>
      <c r="C235" s="4" t="s">
        <v>97</v>
      </c>
      <c r="D235" s="4" t="s">
        <v>98</v>
      </c>
      <c r="E235" s="4" t="s">
        <v>54</v>
      </c>
      <c r="F235" s="4">
        <v>1</v>
      </c>
      <c r="G235" s="4">
        <v>0</v>
      </c>
      <c r="H235" s="4">
        <v>0</v>
      </c>
      <c r="I235" s="4">
        <v>0</v>
      </c>
      <c r="J235">
        <v>17</v>
      </c>
      <c r="K235">
        <v>22</v>
      </c>
      <c r="L235">
        <v>8</v>
      </c>
      <c r="M235">
        <f t="shared" si="21"/>
        <v>17</v>
      </c>
      <c r="N235">
        <f t="shared" si="22"/>
        <v>0</v>
      </c>
      <c r="O235">
        <f t="shared" si="23"/>
        <v>0</v>
      </c>
      <c r="P235">
        <f t="shared" si="24"/>
        <v>0</v>
      </c>
      <c r="Q235">
        <f t="shared" si="25"/>
        <v>17</v>
      </c>
      <c r="R235">
        <f t="shared" si="26"/>
        <v>0.17</v>
      </c>
      <c r="S235">
        <f t="shared" si="27"/>
        <v>16.83</v>
      </c>
      <c r="T235" t="s">
        <v>25</v>
      </c>
    </row>
    <row r="236" spans="1:20">
      <c r="A236" s="4">
        <v>4620826</v>
      </c>
      <c r="B236" s="5">
        <v>45512</v>
      </c>
      <c r="C236" s="4" t="s">
        <v>97</v>
      </c>
      <c r="D236" s="4" t="s">
        <v>98</v>
      </c>
      <c r="E236" s="4" t="s">
        <v>54</v>
      </c>
      <c r="F236" s="4">
        <v>0</v>
      </c>
      <c r="G236" s="4">
        <v>0</v>
      </c>
      <c r="H236" s="4">
        <v>0</v>
      </c>
      <c r="I236" s="4">
        <v>0</v>
      </c>
      <c r="J236">
        <v>17</v>
      </c>
      <c r="K236">
        <v>22</v>
      </c>
      <c r="L236">
        <v>8</v>
      </c>
      <c r="M236">
        <f t="shared" si="21"/>
        <v>0</v>
      </c>
      <c r="N236">
        <f t="shared" si="22"/>
        <v>0</v>
      </c>
      <c r="O236">
        <f t="shared" si="23"/>
        <v>0</v>
      </c>
      <c r="P236">
        <f t="shared" si="24"/>
        <v>0</v>
      </c>
      <c r="Q236">
        <f t="shared" si="25"/>
        <v>0</v>
      </c>
      <c r="R236">
        <f t="shared" si="26"/>
        <v>0</v>
      </c>
      <c r="S236">
        <f t="shared" si="27"/>
        <v>0</v>
      </c>
      <c r="T236" t="s">
        <v>25</v>
      </c>
    </row>
    <row r="237" spans="1:20">
      <c r="A237" s="4">
        <v>4620826</v>
      </c>
      <c r="B237" s="5">
        <v>45513</v>
      </c>
      <c r="C237" s="4" t="s">
        <v>97</v>
      </c>
      <c r="D237" s="4" t="s">
        <v>98</v>
      </c>
      <c r="E237" s="4" t="s">
        <v>54</v>
      </c>
      <c r="F237" s="4">
        <v>0</v>
      </c>
      <c r="G237" s="4">
        <v>0</v>
      </c>
      <c r="H237" s="4">
        <v>0</v>
      </c>
      <c r="I237" s="4">
        <v>0</v>
      </c>
      <c r="J237">
        <v>17</v>
      </c>
      <c r="K237">
        <v>22</v>
      </c>
      <c r="L237">
        <v>8</v>
      </c>
      <c r="M237">
        <f t="shared" si="21"/>
        <v>0</v>
      </c>
      <c r="N237">
        <f t="shared" si="22"/>
        <v>0</v>
      </c>
      <c r="O237">
        <f t="shared" si="23"/>
        <v>0</v>
      </c>
      <c r="P237">
        <f t="shared" si="24"/>
        <v>0</v>
      </c>
      <c r="Q237">
        <f t="shared" si="25"/>
        <v>0</v>
      </c>
      <c r="R237">
        <f t="shared" si="26"/>
        <v>0</v>
      </c>
      <c r="S237">
        <f t="shared" si="27"/>
        <v>0</v>
      </c>
      <c r="T237" t="s">
        <v>25</v>
      </c>
    </row>
    <row r="238" spans="1:20">
      <c r="A238" s="4">
        <v>4620826</v>
      </c>
      <c r="B238" s="5">
        <v>45514</v>
      </c>
      <c r="C238" s="4" t="s">
        <v>97</v>
      </c>
      <c r="D238" s="4" t="s">
        <v>98</v>
      </c>
      <c r="E238" s="4" t="s">
        <v>54</v>
      </c>
      <c r="F238" s="4">
        <v>0</v>
      </c>
      <c r="G238" s="4">
        <v>0</v>
      </c>
      <c r="H238" s="4">
        <v>0</v>
      </c>
      <c r="I238" s="4">
        <v>0</v>
      </c>
      <c r="J238">
        <v>17</v>
      </c>
      <c r="K238">
        <v>22</v>
      </c>
      <c r="L238">
        <v>8</v>
      </c>
      <c r="M238">
        <f t="shared" si="21"/>
        <v>0</v>
      </c>
      <c r="N238">
        <f t="shared" si="22"/>
        <v>0</v>
      </c>
      <c r="O238">
        <f t="shared" si="23"/>
        <v>0</v>
      </c>
      <c r="P238">
        <f t="shared" si="24"/>
        <v>0</v>
      </c>
      <c r="Q238">
        <f t="shared" si="25"/>
        <v>0</v>
      </c>
      <c r="R238">
        <f t="shared" si="26"/>
        <v>0</v>
      </c>
      <c r="S238">
        <f t="shared" si="27"/>
        <v>0</v>
      </c>
      <c r="T238" t="s">
        <v>25</v>
      </c>
    </row>
    <row r="239" spans="1:20">
      <c r="A239" s="4">
        <v>4620826</v>
      </c>
      <c r="B239" s="5">
        <v>45515</v>
      </c>
      <c r="C239" s="4" t="s">
        <v>97</v>
      </c>
      <c r="D239" s="4" t="s">
        <v>98</v>
      </c>
      <c r="E239" s="4" t="s">
        <v>54</v>
      </c>
      <c r="F239" s="4">
        <v>0</v>
      </c>
      <c r="G239" s="4">
        <v>0</v>
      </c>
      <c r="H239" s="4">
        <v>0</v>
      </c>
      <c r="I239" s="4">
        <v>0</v>
      </c>
      <c r="J239">
        <v>17</v>
      </c>
      <c r="K239">
        <v>22</v>
      </c>
      <c r="L239">
        <v>8</v>
      </c>
      <c r="M239">
        <f t="shared" si="21"/>
        <v>0</v>
      </c>
      <c r="N239">
        <f t="shared" si="22"/>
        <v>0</v>
      </c>
      <c r="O239">
        <f t="shared" si="23"/>
        <v>0</v>
      </c>
      <c r="P239">
        <f t="shared" si="24"/>
        <v>0</v>
      </c>
      <c r="Q239">
        <f t="shared" si="25"/>
        <v>0</v>
      </c>
      <c r="R239">
        <f t="shared" si="26"/>
        <v>0</v>
      </c>
      <c r="S239">
        <f t="shared" si="27"/>
        <v>0</v>
      </c>
      <c r="T239" t="s">
        <v>25</v>
      </c>
    </row>
    <row r="240" spans="1:20">
      <c r="A240" s="4">
        <v>4634307</v>
      </c>
      <c r="B240" s="5">
        <v>45514</v>
      </c>
      <c r="C240" s="4" t="s">
        <v>99</v>
      </c>
      <c r="D240" s="4" t="s">
        <v>94</v>
      </c>
      <c r="E240" s="4" t="s">
        <v>24</v>
      </c>
      <c r="F240" s="4">
        <v>30</v>
      </c>
      <c r="G240" s="4">
        <v>14</v>
      </c>
      <c r="H240" s="4">
        <v>17</v>
      </c>
      <c r="I240" s="4">
        <v>0</v>
      </c>
      <c r="J240">
        <v>17</v>
      </c>
      <c r="K240">
        <v>22</v>
      </c>
      <c r="L240">
        <v>8</v>
      </c>
      <c r="M240">
        <f t="shared" si="21"/>
        <v>510</v>
      </c>
      <c r="N240">
        <f t="shared" si="22"/>
        <v>308</v>
      </c>
      <c r="O240">
        <f t="shared" si="23"/>
        <v>136</v>
      </c>
      <c r="P240">
        <f t="shared" si="24"/>
        <v>0</v>
      </c>
      <c r="Q240">
        <f t="shared" si="25"/>
        <v>954</v>
      </c>
      <c r="R240">
        <f t="shared" si="26"/>
        <v>9.54</v>
      </c>
      <c r="S240">
        <f t="shared" si="27"/>
        <v>944.46</v>
      </c>
      <c r="T240" t="s">
        <v>25</v>
      </c>
    </row>
    <row r="241" spans="1:20">
      <c r="A241" s="4">
        <v>4634307</v>
      </c>
      <c r="B241" s="5">
        <v>45515</v>
      </c>
      <c r="C241" s="4" t="s">
        <v>99</v>
      </c>
      <c r="D241" s="4" t="s">
        <v>94</v>
      </c>
      <c r="E241" s="4" t="s">
        <v>24</v>
      </c>
      <c r="F241" s="4">
        <v>48</v>
      </c>
      <c r="G241" s="4">
        <v>0</v>
      </c>
      <c r="H241" s="4">
        <v>6</v>
      </c>
      <c r="I241" s="4">
        <v>0</v>
      </c>
      <c r="J241">
        <v>17</v>
      </c>
      <c r="K241">
        <v>22</v>
      </c>
      <c r="L241">
        <v>8</v>
      </c>
      <c r="M241">
        <f t="shared" si="21"/>
        <v>816</v>
      </c>
      <c r="N241">
        <f t="shared" si="22"/>
        <v>0</v>
      </c>
      <c r="O241">
        <f t="shared" si="23"/>
        <v>48</v>
      </c>
      <c r="P241">
        <f t="shared" si="24"/>
        <v>0</v>
      </c>
      <c r="Q241">
        <f t="shared" si="25"/>
        <v>864</v>
      </c>
      <c r="R241">
        <f t="shared" si="26"/>
        <v>8.64</v>
      </c>
      <c r="S241">
        <f t="shared" si="27"/>
        <v>855.36</v>
      </c>
      <c r="T241" t="s">
        <v>25</v>
      </c>
    </row>
    <row r="242" spans="1:20">
      <c r="A242" s="4">
        <v>4654347</v>
      </c>
      <c r="B242" s="5">
        <v>45510</v>
      </c>
      <c r="C242" s="4" t="s">
        <v>100</v>
      </c>
      <c r="D242" s="4" t="s">
        <v>23</v>
      </c>
      <c r="E242" s="4" t="s">
        <v>24</v>
      </c>
      <c r="F242" s="4">
        <v>1</v>
      </c>
      <c r="G242" s="4">
        <v>15</v>
      </c>
      <c r="H242" s="4">
        <v>0</v>
      </c>
      <c r="I242" s="4">
        <v>0</v>
      </c>
      <c r="J242">
        <v>17</v>
      </c>
      <c r="K242">
        <v>22</v>
      </c>
      <c r="L242">
        <v>8</v>
      </c>
      <c r="M242">
        <f t="shared" si="21"/>
        <v>17</v>
      </c>
      <c r="N242">
        <f t="shared" si="22"/>
        <v>330</v>
      </c>
      <c r="O242">
        <f t="shared" si="23"/>
        <v>0</v>
      </c>
      <c r="P242">
        <f t="shared" si="24"/>
        <v>0</v>
      </c>
      <c r="Q242">
        <f t="shared" si="25"/>
        <v>347</v>
      </c>
      <c r="R242">
        <f t="shared" si="26"/>
        <v>3.47</v>
      </c>
      <c r="S242">
        <f t="shared" si="27"/>
        <v>343.53</v>
      </c>
      <c r="T242" t="s">
        <v>25</v>
      </c>
    </row>
    <row r="243" spans="1:20">
      <c r="A243" s="4">
        <v>4654347</v>
      </c>
      <c r="B243" s="5">
        <v>45511</v>
      </c>
      <c r="C243" s="4" t="s">
        <v>100</v>
      </c>
      <c r="D243" s="4" t="s">
        <v>23</v>
      </c>
      <c r="E243" s="4" t="s">
        <v>24</v>
      </c>
      <c r="F243" s="4">
        <v>0</v>
      </c>
      <c r="G243" s="4">
        <v>13</v>
      </c>
      <c r="H243" s="4">
        <v>3</v>
      </c>
      <c r="I243" s="4">
        <v>0</v>
      </c>
      <c r="J243">
        <v>17</v>
      </c>
      <c r="K243">
        <v>22</v>
      </c>
      <c r="L243">
        <v>8</v>
      </c>
      <c r="M243">
        <f t="shared" si="21"/>
        <v>0</v>
      </c>
      <c r="N243">
        <f t="shared" si="22"/>
        <v>286</v>
      </c>
      <c r="O243">
        <f t="shared" si="23"/>
        <v>24</v>
      </c>
      <c r="P243">
        <f t="shared" si="24"/>
        <v>0</v>
      </c>
      <c r="Q243">
        <f t="shared" si="25"/>
        <v>310</v>
      </c>
      <c r="R243">
        <f t="shared" si="26"/>
        <v>3.1</v>
      </c>
      <c r="S243">
        <f t="shared" si="27"/>
        <v>306.9</v>
      </c>
      <c r="T243" t="s">
        <v>25</v>
      </c>
    </row>
    <row r="244" spans="1:20">
      <c r="A244" s="4">
        <v>4654347</v>
      </c>
      <c r="B244" s="5">
        <v>45512</v>
      </c>
      <c r="C244" s="4" t="s">
        <v>100</v>
      </c>
      <c r="D244" s="4" t="s">
        <v>23</v>
      </c>
      <c r="E244" s="4" t="s">
        <v>24</v>
      </c>
      <c r="F244" s="4">
        <v>0</v>
      </c>
      <c r="G244" s="4">
        <v>21</v>
      </c>
      <c r="H244" s="4">
        <v>0</v>
      </c>
      <c r="I244" s="4">
        <v>0</v>
      </c>
      <c r="J244">
        <v>17</v>
      </c>
      <c r="K244">
        <v>22</v>
      </c>
      <c r="L244">
        <v>8</v>
      </c>
      <c r="M244">
        <f t="shared" si="21"/>
        <v>0</v>
      </c>
      <c r="N244">
        <f t="shared" si="22"/>
        <v>462</v>
      </c>
      <c r="O244">
        <f t="shared" si="23"/>
        <v>0</v>
      </c>
      <c r="P244">
        <f t="shared" si="24"/>
        <v>0</v>
      </c>
      <c r="Q244">
        <f t="shared" si="25"/>
        <v>462</v>
      </c>
      <c r="R244">
        <f t="shared" si="26"/>
        <v>4.62</v>
      </c>
      <c r="S244">
        <f t="shared" si="27"/>
        <v>457.38</v>
      </c>
      <c r="T244" t="s">
        <v>25</v>
      </c>
    </row>
    <row r="245" spans="1:20">
      <c r="A245" s="4">
        <v>4654347</v>
      </c>
      <c r="B245" s="5">
        <v>45513</v>
      </c>
      <c r="C245" s="4" t="s">
        <v>100</v>
      </c>
      <c r="D245" s="4" t="s">
        <v>23</v>
      </c>
      <c r="E245" s="4" t="s">
        <v>24</v>
      </c>
      <c r="F245" s="4">
        <v>1</v>
      </c>
      <c r="G245" s="4">
        <v>10</v>
      </c>
      <c r="H245" s="4">
        <v>0</v>
      </c>
      <c r="I245" s="4">
        <v>0</v>
      </c>
      <c r="J245">
        <v>17</v>
      </c>
      <c r="K245">
        <v>22</v>
      </c>
      <c r="L245">
        <v>8</v>
      </c>
      <c r="M245">
        <f t="shared" si="21"/>
        <v>17</v>
      </c>
      <c r="N245">
        <f t="shared" si="22"/>
        <v>220</v>
      </c>
      <c r="O245">
        <f t="shared" si="23"/>
        <v>0</v>
      </c>
      <c r="P245">
        <f t="shared" si="24"/>
        <v>0</v>
      </c>
      <c r="Q245">
        <f t="shared" si="25"/>
        <v>237</v>
      </c>
      <c r="R245">
        <f t="shared" si="26"/>
        <v>2.37</v>
      </c>
      <c r="S245">
        <f t="shared" si="27"/>
        <v>234.63</v>
      </c>
      <c r="T245" t="s">
        <v>25</v>
      </c>
    </row>
    <row r="246" spans="1:20">
      <c r="A246" s="4">
        <v>4654347</v>
      </c>
      <c r="B246" s="5">
        <v>45514</v>
      </c>
      <c r="C246" s="4" t="s">
        <v>100</v>
      </c>
      <c r="D246" s="4" t="s">
        <v>23</v>
      </c>
      <c r="E246" s="4" t="s">
        <v>24</v>
      </c>
      <c r="F246" s="4">
        <v>0</v>
      </c>
      <c r="G246" s="4">
        <v>22</v>
      </c>
      <c r="H246" s="4">
        <v>4</v>
      </c>
      <c r="I246" s="4">
        <v>0</v>
      </c>
      <c r="J246">
        <v>17</v>
      </c>
      <c r="K246">
        <v>22</v>
      </c>
      <c r="L246">
        <v>8</v>
      </c>
      <c r="M246">
        <f t="shared" si="21"/>
        <v>0</v>
      </c>
      <c r="N246">
        <f t="shared" si="22"/>
        <v>484</v>
      </c>
      <c r="O246">
        <f t="shared" si="23"/>
        <v>32</v>
      </c>
      <c r="P246">
        <f t="shared" si="24"/>
        <v>0</v>
      </c>
      <c r="Q246">
        <f t="shared" si="25"/>
        <v>516</v>
      </c>
      <c r="R246">
        <f t="shared" si="26"/>
        <v>5.16</v>
      </c>
      <c r="S246">
        <f t="shared" si="27"/>
        <v>510.84</v>
      </c>
      <c r="T246" t="s">
        <v>25</v>
      </c>
    </row>
    <row r="247" spans="1:20">
      <c r="A247" s="4">
        <v>4654347</v>
      </c>
      <c r="B247" s="5">
        <v>45515</v>
      </c>
      <c r="C247" s="4" t="s">
        <v>100</v>
      </c>
      <c r="D247" s="4" t="s">
        <v>23</v>
      </c>
      <c r="E247" s="4" t="s">
        <v>24</v>
      </c>
      <c r="F247" s="4">
        <v>0</v>
      </c>
      <c r="G247" s="4">
        <v>22</v>
      </c>
      <c r="H247" s="4">
        <v>9</v>
      </c>
      <c r="I247" s="4">
        <v>0</v>
      </c>
      <c r="J247">
        <v>17</v>
      </c>
      <c r="K247">
        <v>22</v>
      </c>
      <c r="L247">
        <v>8</v>
      </c>
      <c r="M247">
        <f t="shared" si="21"/>
        <v>0</v>
      </c>
      <c r="N247">
        <f t="shared" si="22"/>
        <v>484</v>
      </c>
      <c r="O247">
        <f t="shared" si="23"/>
        <v>72</v>
      </c>
      <c r="P247">
        <f t="shared" si="24"/>
        <v>0</v>
      </c>
      <c r="Q247">
        <f t="shared" si="25"/>
        <v>556</v>
      </c>
      <c r="R247">
        <f t="shared" si="26"/>
        <v>5.56</v>
      </c>
      <c r="S247">
        <f t="shared" si="27"/>
        <v>550.44</v>
      </c>
      <c r="T247" t="s">
        <v>25</v>
      </c>
    </row>
    <row r="248" spans="1:20">
      <c r="A248" s="4">
        <v>4664740</v>
      </c>
      <c r="B248" s="5">
        <v>45509</v>
      </c>
      <c r="C248" s="4" t="s">
        <v>101</v>
      </c>
      <c r="D248" s="4" t="s">
        <v>39</v>
      </c>
      <c r="E248" s="4" t="s">
        <v>24</v>
      </c>
      <c r="F248" s="4">
        <v>33</v>
      </c>
      <c r="G248" s="4">
        <v>3</v>
      </c>
      <c r="H248" s="4">
        <v>3</v>
      </c>
      <c r="I248" s="4">
        <v>0</v>
      </c>
      <c r="J248">
        <v>17</v>
      </c>
      <c r="K248">
        <v>22</v>
      </c>
      <c r="L248">
        <v>8</v>
      </c>
      <c r="M248">
        <f t="shared" si="21"/>
        <v>561</v>
      </c>
      <c r="N248">
        <f t="shared" si="22"/>
        <v>66</v>
      </c>
      <c r="O248">
        <f t="shared" si="23"/>
        <v>24</v>
      </c>
      <c r="P248">
        <f t="shared" si="24"/>
        <v>0</v>
      </c>
      <c r="Q248">
        <f t="shared" si="25"/>
        <v>651</v>
      </c>
      <c r="R248">
        <f t="shared" si="26"/>
        <v>6.51</v>
      </c>
      <c r="S248">
        <f t="shared" si="27"/>
        <v>644.49</v>
      </c>
      <c r="T248" t="s">
        <v>25</v>
      </c>
    </row>
    <row r="249" spans="1:20">
      <c r="A249" s="4">
        <v>4664740</v>
      </c>
      <c r="B249" s="5">
        <v>45512</v>
      </c>
      <c r="C249" s="4" t="s">
        <v>101</v>
      </c>
      <c r="D249" s="4" t="s">
        <v>39</v>
      </c>
      <c r="E249" s="4" t="s">
        <v>24</v>
      </c>
      <c r="F249" s="4">
        <v>0</v>
      </c>
      <c r="G249" s="4">
        <v>0</v>
      </c>
      <c r="H249" s="4">
        <v>0</v>
      </c>
      <c r="I249" s="4">
        <v>0</v>
      </c>
      <c r="J249">
        <v>17</v>
      </c>
      <c r="K249">
        <v>22</v>
      </c>
      <c r="L249">
        <v>8</v>
      </c>
      <c r="M249">
        <f t="shared" si="21"/>
        <v>0</v>
      </c>
      <c r="N249">
        <f t="shared" si="22"/>
        <v>0</v>
      </c>
      <c r="O249">
        <f t="shared" si="23"/>
        <v>0</v>
      </c>
      <c r="P249">
        <f t="shared" si="24"/>
        <v>0</v>
      </c>
      <c r="Q249">
        <f t="shared" si="25"/>
        <v>0</v>
      </c>
      <c r="R249">
        <f t="shared" si="26"/>
        <v>0</v>
      </c>
      <c r="S249">
        <f t="shared" si="27"/>
        <v>0</v>
      </c>
      <c r="T249" t="s">
        <v>25</v>
      </c>
    </row>
    <row r="250" spans="1:20">
      <c r="A250" s="4">
        <v>4665756</v>
      </c>
      <c r="B250" s="5">
        <v>45509</v>
      </c>
      <c r="C250" s="4" t="s">
        <v>102</v>
      </c>
      <c r="D250" s="4" t="s">
        <v>39</v>
      </c>
      <c r="E250" s="4" t="s">
        <v>24</v>
      </c>
      <c r="F250" s="4">
        <v>17</v>
      </c>
      <c r="G250" s="4">
        <v>0</v>
      </c>
      <c r="H250" s="4">
        <v>4</v>
      </c>
      <c r="I250" s="4">
        <v>0</v>
      </c>
      <c r="J250">
        <v>17</v>
      </c>
      <c r="K250">
        <v>22</v>
      </c>
      <c r="L250">
        <v>8</v>
      </c>
      <c r="M250">
        <f t="shared" si="21"/>
        <v>289</v>
      </c>
      <c r="N250">
        <f t="shared" si="22"/>
        <v>0</v>
      </c>
      <c r="O250">
        <f t="shared" si="23"/>
        <v>32</v>
      </c>
      <c r="P250">
        <f t="shared" si="24"/>
        <v>0</v>
      </c>
      <c r="Q250">
        <f t="shared" si="25"/>
        <v>321</v>
      </c>
      <c r="R250">
        <f t="shared" si="26"/>
        <v>3.21</v>
      </c>
      <c r="S250">
        <f t="shared" si="27"/>
        <v>317.79</v>
      </c>
      <c r="T250" t="s">
        <v>25</v>
      </c>
    </row>
    <row r="251" spans="1:20">
      <c r="A251" s="4">
        <v>4665756</v>
      </c>
      <c r="B251" s="5">
        <v>45513</v>
      </c>
      <c r="C251" s="4" t="s">
        <v>102</v>
      </c>
      <c r="D251" s="4" t="s">
        <v>39</v>
      </c>
      <c r="E251" s="4" t="s">
        <v>24</v>
      </c>
      <c r="F251" s="4">
        <v>29</v>
      </c>
      <c r="G251" s="4">
        <v>0</v>
      </c>
      <c r="H251" s="4">
        <v>6</v>
      </c>
      <c r="I251" s="4">
        <v>0</v>
      </c>
      <c r="J251">
        <v>17</v>
      </c>
      <c r="K251">
        <v>22</v>
      </c>
      <c r="L251">
        <v>8</v>
      </c>
      <c r="M251">
        <f t="shared" si="21"/>
        <v>493</v>
      </c>
      <c r="N251">
        <f t="shared" si="22"/>
        <v>0</v>
      </c>
      <c r="O251">
        <f t="shared" si="23"/>
        <v>48</v>
      </c>
      <c r="P251">
        <f t="shared" si="24"/>
        <v>0</v>
      </c>
      <c r="Q251">
        <f t="shared" si="25"/>
        <v>541</v>
      </c>
      <c r="R251">
        <f t="shared" si="26"/>
        <v>5.41</v>
      </c>
      <c r="S251">
        <f t="shared" si="27"/>
        <v>535.59</v>
      </c>
      <c r="T251" t="s">
        <v>25</v>
      </c>
    </row>
    <row r="252" spans="1:20">
      <c r="A252" s="4">
        <v>4665756</v>
      </c>
      <c r="B252" s="5">
        <v>45515</v>
      </c>
      <c r="C252" s="4" t="s">
        <v>102</v>
      </c>
      <c r="D252" s="4" t="s">
        <v>39</v>
      </c>
      <c r="E252" s="4" t="s">
        <v>24</v>
      </c>
      <c r="F252" s="4">
        <v>16</v>
      </c>
      <c r="G252" s="4">
        <v>0</v>
      </c>
      <c r="H252" s="4">
        <v>7</v>
      </c>
      <c r="I252" s="4">
        <v>0</v>
      </c>
      <c r="J252">
        <v>17</v>
      </c>
      <c r="K252">
        <v>22</v>
      </c>
      <c r="L252">
        <v>8</v>
      </c>
      <c r="M252">
        <f t="shared" si="21"/>
        <v>272</v>
      </c>
      <c r="N252">
        <f t="shared" si="22"/>
        <v>0</v>
      </c>
      <c r="O252">
        <f t="shared" si="23"/>
        <v>56</v>
      </c>
      <c r="P252">
        <f t="shared" si="24"/>
        <v>0</v>
      </c>
      <c r="Q252">
        <f t="shared" si="25"/>
        <v>328</v>
      </c>
      <c r="R252">
        <f t="shared" si="26"/>
        <v>3.28</v>
      </c>
      <c r="S252">
        <f t="shared" si="27"/>
        <v>324.72</v>
      </c>
      <c r="T252" t="s">
        <v>25</v>
      </c>
    </row>
    <row r="253" spans="1:20">
      <c r="A253" s="4">
        <v>4671352</v>
      </c>
      <c r="B253" s="5">
        <v>45511</v>
      </c>
      <c r="C253" s="4" t="s">
        <v>103</v>
      </c>
      <c r="D253" s="4" t="s">
        <v>39</v>
      </c>
      <c r="E253" s="4" t="s">
        <v>24</v>
      </c>
      <c r="F253" s="4">
        <v>0</v>
      </c>
      <c r="G253" s="4">
        <v>7</v>
      </c>
      <c r="H253" s="4">
        <v>0</v>
      </c>
      <c r="I253" s="4">
        <v>0</v>
      </c>
      <c r="J253">
        <v>17</v>
      </c>
      <c r="K253">
        <v>22</v>
      </c>
      <c r="L253">
        <v>8</v>
      </c>
      <c r="M253">
        <f t="shared" si="21"/>
        <v>0</v>
      </c>
      <c r="N253">
        <f t="shared" si="22"/>
        <v>154</v>
      </c>
      <c r="O253">
        <f t="shared" si="23"/>
        <v>0</v>
      </c>
      <c r="P253">
        <f t="shared" si="24"/>
        <v>0</v>
      </c>
      <c r="Q253">
        <f t="shared" si="25"/>
        <v>154</v>
      </c>
      <c r="R253">
        <f t="shared" si="26"/>
        <v>1.54</v>
      </c>
      <c r="S253">
        <f t="shared" si="27"/>
        <v>152.46</v>
      </c>
      <c r="T253" t="s">
        <v>25</v>
      </c>
    </row>
    <row r="254" spans="1:20">
      <c r="A254" s="4">
        <v>4671352</v>
      </c>
      <c r="B254" s="5">
        <v>45515</v>
      </c>
      <c r="C254" s="4" t="s">
        <v>103</v>
      </c>
      <c r="D254" s="4" t="s">
        <v>39</v>
      </c>
      <c r="E254" s="4" t="s">
        <v>24</v>
      </c>
      <c r="F254" s="4">
        <v>17</v>
      </c>
      <c r="G254" s="4">
        <v>0</v>
      </c>
      <c r="H254" s="4">
        <v>6</v>
      </c>
      <c r="I254" s="4">
        <v>0</v>
      </c>
      <c r="J254">
        <v>17</v>
      </c>
      <c r="K254">
        <v>22</v>
      </c>
      <c r="L254">
        <v>8</v>
      </c>
      <c r="M254">
        <f t="shared" si="21"/>
        <v>289</v>
      </c>
      <c r="N254">
        <f t="shared" si="22"/>
        <v>0</v>
      </c>
      <c r="O254">
        <f t="shared" si="23"/>
        <v>48</v>
      </c>
      <c r="P254">
        <f t="shared" si="24"/>
        <v>0</v>
      </c>
      <c r="Q254">
        <f t="shared" si="25"/>
        <v>337</v>
      </c>
      <c r="R254">
        <f t="shared" si="26"/>
        <v>3.37</v>
      </c>
      <c r="S254">
        <f t="shared" si="27"/>
        <v>333.63</v>
      </c>
      <c r="T254" t="s">
        <v>25</v>
      </c>
    </row>
    <row r="255" spans="1:20">
      <c r="A255" s="4">
        <v>4676053</v>
      </c>
      <c r="B255" s="5">
        <v>45509</v>
      </c>
      <c r="C255" s="4" t="s">
        <v>104</v>
      </c>
      <c r="D255" s="4" t="s">
        <v>39</v>
      </c>
      <c r="E255" s="4" t="s">
        <v>24</v>
      </c>
      <c r="F255" s="4">
        <v>43</v>
      </c>
      <c r="G255" s="4">
        <v>0</v>
      </c>
      <c r="H255" s="4">
        <v>9</v>
      </c>
      <c r="I255" s="4">
        <v>0</v>
      </c>
      <c r="J255">
        <v>17</v>
      </c>
      <c r="K255">
        <v>22</v>
      </c>
      <c r="L255">
        <v>8</v>
      </c>
      <c r="M255">
        <f t="shared" si="21"/>
        <v>731</v>
      </c>
      <c r="N255">
        <f t="shared" si="22"/>
        <v>0</v>
      </c>
      <c r="O255">
        <f t="shared" si="23"/>
        <v>72</v>
      </c>
      <c r="P255">
        <f t="shared" si="24"/>
        <v>0</v>
      </c>
      <c r="Q255">
        <f t="shared" si="25"/>
        <v>803</v>
      </c>
      <c r="R255">
        <f t="shared" si="26"/>
        <v>8.03</v>
      </c>
      <c r="S255">
        <f t="shared" si="27"/>
        <v>794.97</v>
      </c>
      <c r="T255" t="s">
        <v>25</v>
      </c>
    </row>
    <row r="256" spans="1:20">
      <c r="A256" s="4">
        <v>4676053</v>
      </c>
      <c r="B256" s="5">
        <v>45510</v>
      </c>
      <c r="C256" s="4" t="s">
        <v>104</v>
      </c>
      <c r="D256" s="4" t="s">
        <v>39</v>
      </c>
      <c r="E256" s="4" t="s">
        <v>24</v>
      </c>
      <c r="F256" s="4">
        <v>45</v>
      </c>
      <c r="G256" s="4">
        <v>0</v>
      </c>
      <c r="H256" s="4">
        <v>3</v>
      </c>
      <c r="I256" s="4">
        <v>0</v>
      </c>
      <c r="J256">
        <v>17</v>
      </c>
      <c r="K256">
        <v>22</v>
      </c>
      <c r="L256">
        <v>8</v>
      </c>
      <c r="M256">
        <f t="shared" si="21"/>
        <v>765</v>
      </c>
      <c r="N256">
        <f t="shared" si="22"/>
        <v>0</v>
      </c>
      <c r="O256">
        <f t="shared" si="23"/>
        <v>24</v>
      </c>
      <c r="P256">
        <f t="shared" si="24"/>
        <v>0</v>
      </c>
      <c r="Q256">
        <f t="shared" si="25"/>
        <v>789</v>
      </c>
      <c r="R256">
        <f t="shared" si="26"/>
        <v>7.89</v>
      </c>
      <c r="S256">
        <f t="shared" si="27"/>
        <v>781.11</v>
      </c>
      <c r="T256" t="s">
        <v>25</v>
      </c>
    </row>
    <row r="257" spans="1:20">
      <c r="A257" s="4">
        <v>4676053</v>
      </c>
      <c r="B257" s="5">
        <v>45511</v>
      </c>
      <c r="C257" s="4" t="s">
        <v>104</v>
      </c>
      <c r="D257" s="4" t="s">
        <v>39</v>
      </c>
      <c r="E257" s="4" t="s">
        <v>24</v>
      </c>
      <c r="F257" s="4">
        <v>28</v>
      </c>
      <c r="G257" s="4">
        <v>0</v>
      </c>
      <c r="H257" s="4">
        <v>6</v>
      </c>
      <c r="I257" s="4">
        <v>0</v>
      </c>
      <c r="J257">
        <v>17</v>
      </c>
      <c r="K257">
        <v>22</v>
      </c>
      <c r="L257">
        <v>8</v>
      </c>
      <c r="M257">
        <f t="shared" si="21"/>
        <v>476</v>
      </c>
      <c r="N257">
        <f t="shared" si="22"/>
        <v>0</v>
      </c>
      <c r="O257">
        <f t="shared" si="23"/>
        <v>48</v>
      </c>
      <c r="P257">
        <f t="shared" si="24"/>
        <v>0</v>
      </c>
      <c r="Q257">
        <f t="shared" si="25"/>
        <v>524</v>
      </c>
      <c r="R257">
        <f t="shared" si="26"/>
        <v>5.24</v>
      </c>
      <c r="S257">
        <f t="shared" si="27"/>
        <v>518.76</v>
      </c>
      <c r="T257" t="s">
        <v>25</v>
      </c>
    </row>
    <row r="258" spans="1:20">
      <c r="A258" s="4">
        <v>4676053</v>
      </c>
      <c r="B258" s="5">
        <v>45512</v>
      </c>
      <c r="C258" s="4" t="s">
        <v>104</v>
      </c>
      <c r="D258" s="4" t="s">
        <v>39</v>
      </c>
      <c r="E258" s="4" t="s">
        <v>24</v>
      </c>
      <c r="F258" s="4">
        <v>57</v>
      </c>
      <c r="G258" s="4">
        <v>0</v>
      </c>
      <c r="H258" s="4">
        <v>10</v>
      </c>
      <c r="I258" s="4">
        <v>0</v>
      </c>
      <c r="J258">
        <v>17</v>
      </c>
      <c r="K258">
        <v>22</v>
      </c>
      <c r="L258">
        <v>8</v>
      </c>
      <c r="M258">
        <f t="shared" si="21"/>
        <v>969</v>
      </c>
      <c r="N258">
        <f t="shared" si="22"/>
        <v>0</v>
      </c>
      <c r="O258">
        <f t="shared" si="23"/>
        <v>80</v>
      </c>
      <c r="P258">
        <f t="shared" si="24"/>
        <v>0</v>
      </c>
      <c r="Q258">
        <f t="shared" si="25"/>
        <v>1049</v>
      </c>
      <c r="R258">
        <f t="shared" si="26"/>
        <v>10.49</v>
      </c>
      <c r="S258">
        <f t="shared" si="27"/>
        <v>1038.51</v>
      </c>
      <c r="T258" t="s">
        <v>25</v>
      </c>
    </row>
    <row r="259" spans="1:20">
      <c r="A259" s="4">
        <v>4676053</v>
      </c>
      <c r="B259" s="5">
        <v>45513</v>
      </c>
      <c r="C259" s="4" t="s">
        <v>104</v>
      </c>
      <c r="D259" s="4" t="s">
        <v>39</v>
      </c>
      <c r="E259" s="4" t="s">
        <v>24</v>
      </c>
      <c r="F259" s="4">
        <v>32</v>
      </c>
      <c r="G259" s="4">
        <v>0</v>
      </c>
      <c r="H259" s="4">
        <v>5</v>
      </c>
      <c r="I259" s="4">
        <v>0</v>
      </c>
      <c r="J259">
        <v>17</v>
      </c>
      <c r="K259">
        <v>22</v>
      </c>
      <c r="L259">
        <v>8</v>
      </c>
      <c r="M259">
        <f t="shared" si="21"/>
        <v>544</v>
      </c>
      <c r="N259">
        <f t="shared" si="22"/>
        <v>0</v>
      </c>
      <c r="O259">
        <f t="shared" si="23"/>
        <v>40</v>
      </c>
      <c r="P259">
        <f t="shared" si="24"/>
        <v>0</v>
      </c>
      <c r="Q259">
        <f t="shared" si="25"/>
        <v>584</v>
      </c>
      <c r="R259">
        <f t="shared" si="26"/>
        <v>5.84</v>
      </c>
      <c r="S259">
        <f t="shared" si="27"/>
        <v>578.16</v>
      </c>
      <c r="T259" t="s">
        <v>25</v>
      </c>
    </row>
    <row r="260" spans="1:20">
      <c r="A260" s="4">
        <v>4676053</v>
      </c>
      <c r="B260" s="5">
        <v>45514</v>
      </c>
      <c r="C260" s="4" t="s">
        <v>104</v>
      </c>
      <c r="D260" s="4" t="s">
        <v>39</v>
      </c>
      <c r="E260" s="4" t="s">
        <v>24</v>
      </c>
      <c r="F260" s="4">
        <v>52</v>
      </c>
      <c r="G260" s="4">
        <v>0</v>
      </c>
      <c r="H260" s="4">
        <v>11</v>
      </c>
      <c r="I260" s="4">
        <v>0</v>
      </c>
      <c r="J260">
        <v>17</v>
      </c>
      <c r="K260">
        <v>22</v>
      </c>
      <c r="L260">
        <v>8</v>
      </c>
      <c r="M260">
        <f t="shared" ref="M260:M323" si="28">F260*J260</f>
        <v>884</v>
      </c>
      <c r="N260">
        <f t="shared" ref="N260:N323" si="29">G260*K260</f>
        <v>0</v>
      </c>
      <c r="O260">
        <f t="shared" ref="O260:O323" si="30">H260*L260</f>
        <v>88</v>
      </c>
      <c r="P260">
        <f t="shared" ref="P260:P323" si="31">I260*2.5</f>
        <v>0</v>
      </c>
      <c r="Q260">
        <f t="shared" ref="Q260:Q323" si="32">M260+N260+O260+P260</f>
        <v>972</v>
      </c>
      <c r="R260">
        <f t="shared" ref="R260:R323" si="33">Q260*1%</f>
        <v>9.72</v>
      </c>
      <c r="S260">
        <f t="shared" ref="S260:S323" si="34">Q260-R260</f>
        <v>962.28</v>
      </c>
      <c r="T260" t="s">
        <v>25</v>
      </c>
    </row>
    <row r="261" spans="1:20">
      <c r="A261" s="4">
        <v>4676053</v>
      </c>
      <c r="B261" s="5">
        <v>45515</v>
      </c>
      <c r="C261" s="4" t="s">
        <v>104</v>
      </c>
      <c r="D261" s="4" t="s">
        <v>39</v>
      </c>
      <c r="E261" s="4" t="s">
        <v>24</v>
      </c>
      <c r="F261" s="4">
        <v>31</v>
      </c>
      <c r="G261" s="4">
        <v>0</v>
      </c>
      <c r="H261" s="4">
        <v>2</v>
      </c>
      <c r="I261" s="4">
        <v>0</v>
      </c>
      <c r="J261">
        <v>17</v>
      </c>
      <c r="K261">
        <v>22</v>
      </c>
      <c r="L261">
        <v>8</v>
      </c>
      <c r="M261">
        <f t="shared" si="28"/>
        <v>527</v>
      </c>
      <c r="N261">
        <f t="shared" si="29"/>
        <v>0</v>
      </c>
      <c r="O261">
        <f t="shared" si="30"/>
        <v>16</v>
      </c>
      <c r="P261">
        <f t="shared" si="31"/>
        <v>0</v>
      </c>
      <c r="Q261">
        <f t="shared" si="32"/>
        <v>543</v>
      </c>
      <c r="R261">
        <f t="shared" si="33"/>
        <v>5.43</v>
      </c>
      <c r="S261">
        <f t="shared" si="34"/>
        <v>537.57</v>
      </c>
      <c r="T261" t="s">
        <v>25</v>
      </c>
    </row>
    <row r="262" spans="1:20">
      <c r="A262" s="4">
        <v>4687336</v>
      </c>
      <c r="B262" s="5">
        <v>45509</v>
      </c>
      <c r="C262" s="4" t="s">
        <v>105</v>
      </c>
      <c r="D262" s="4" t="s">
        <v>44</v>
      </c>
      <c r="E262" s="4" t="s">
        <v>24</v>
      </c>
      <c r="F262" s="4">
        <v>54</v>
      </c>
      <c r="G262" s="4">
        <v>0</v>
      </c>
      <c r="H262" s="4">
        <v>14</v>
      </c>
      <c r="I262" s="4">
        <v>0</v>
      </c>
      <c r="J262">
        <v>17</v>
      </c>
      <c r="K262">
        <v>22</v>
      </c>
      <c r="L262">
        <v>8</v>
      </c>
      <c r="M262">
        <f t="shared" si="28"/>
        <v>918</v>
      </c>
      <c r="N262">
        <f t="shared" si="29"/>
        <v>0</v>
      </c>
      <c r="O262">
        <f t="shared" si="30"/>
        <v>112</v>
      </c>
      <c r="P262">
        <f t="shared" si="31"/>
        <v>0</v>
      </c>
      <c r="Q262">
        <f t="shared" si="32"/>
        <v>1030</v>
      </c>
      <c r="R262">
        <f t="shared" si="33"/>
        <v>10.3</v>
      </c>
      <c r="S262">
        <f t="shared" si="34"/>
        <v>1019.7</v>
      </c>
      <c r="T262" t="s">
        <v>25</v>
      </c>
    </row>
    <row r="263" spans="1:20">
      <c r="A263" s="4">
        <v>4687336</v>
      </c>
      <c r="B263" s="5">
        <v>45510</v>
      </c>
      <c r="C263" s="4" t="s">
        <v>105</v>
      </c>
      <c r="D263" s="4" t="s">
        <v>44</v>
      </c>
      <c r="E263" s="4" t="s">
        <v>24</v>
      </c>
      <c r="F263" s="4">
        <v>1</v>
      </c>
      <c r="G263" s="4">
        <v>0</v>
      </c>
      <c r="H263" s="4">
        <v>0</v>
      </c>
      <c r="I263" s="4">
        <v>0</v>
      </c>
      <c r="J263">
        <v>17</v>
      </c>
      <c r="K263">
        <v>22</v>
      </c>
      <c r="L263">
        <v>8</v>
      </c>
      <c r="M263">
        <f t="shared" si="28"/>
        <v>17</v>
      </c>
      <c r="N263">
        <f t="shared" si="29"/>
        <v>0</v>
      </c>
      <c r="O263">
        <f t="shared" si="30"/>
        <v>0</v>
      </c>
      <c r="P263">
        <f t="shared" si="31"/>
        <v>0</v>
      </c>
      <c r="Q263">
        <f t="shared" si="32"/>
        <v>17</v>
      </c>
      <c r="R263">
        <f t="shared" si="33"/>
        <v>0.17</v>
      </c>
      <c r="S263">
        <f t="shared" si="34"/>
        <v>16.83</v>
      </c>
      <c r="T263" t="s">
        <v>25</v>
      </c>
    </row>
    <row r="264" spans="1:20">
      <c r="A264" s="4">
        <v>4687336</v>
      </c>
      <c r="B264" s="5">
        <v>45512</v>
      </c>
      <c r="C264" s="4" t="s">
        <v>105</v>
      </c>
      <c r="D264" s="4" t="s">
        <v>44</v>
      </c>
      <c r="E264" s="4" t="s">
        <v>24</v>
      </c>
      <c r="F264" s="4">
        <v>0</v>
      </c>
      <c r="G264" s="4">
        <v>0</v>
      </c>
      <c r="H264" s="4">
        <v>0</v>
      </c>
      <c r="I264" s="4">
        <v>0</v>
      </c>
      <c r="J264">
        <v>17</v>
      </c>
      <c r="K264">
        <v>22</v>
      </c>
      <c r="L264">
        <v>8</v>
      </c>
      <c r="M264">
        <f t="shared" si="28"/>
        <v>0</v>
      </c>
      <c r="N264">
        <f t="shared" si="29"/>
        <v>0</v>
      </c>
      <c r="O264">
        <f t="shared" si="30"/>
        <v>0</v>
      </c>
      <c r="P264">
        <f t="shared" si="31"/>
        <v>0</v>
      </c>
      <c r="Q264">
        <f t="shared" si="32"/>
        <v>0</v>
      </c>
      <c r="R264">
        <f t="shared" si="33"/>
        <v>0</v>
      </c>
      <c r="S264">
        <f t="shared" si="34"/>
        <v>0</v>
      </c>
      <c r="T264" t="s">
        <v>25</v>
      </c>
    </row>
    <row r="265" spans="1:20">
      <c r="A265" s="4">
        <v>4687336</v>
      </c>
      <c r="B265" s="5">
        <v>45514</v>
      </c>
      <c r="C265" s="4" t="s">
        <v>105</v>
      </c>
      <c r="D265" s="4" t="s">
        <v>44</v>
      </c>
      <c r="E265" s="4" t="s">
        <v>24</v>
      </c>
      <c r="F265" s="4">
        <v>39</v>
      </c>
      <c r="G265" s="4">
        <v>0</v>
      </c>
      <c r="H265" s="4">
        <v>0</v>
      </c>
      <c r="I265" s="4">
        <v>0</v>
      </c>
      <c r="J265">
        <v>17</v>
      </c>
      <c r="K265">
        <v>22</v>
      </c>
      <c r="L265">
        <v>8</v>
      </c>
      <c r="M265">
        <f t="shared" si="28"/>
        <v>663</v>
      </c>
      <c r="N265">
        <f t="shared" si="29"/>
        <v>0</v>
      </c>
      <c r="O265">
        <f t="shared" si="30"/>
        <v>0</v>
      </c>
      <c r="P265">
        <f t="shared" si="31"/>
        <v>0</v>
      </c>
      <c r="Q265">
        <f t="shared" si="32"/>
        <v>663</v>
      </c>
      <c r="R265">
        <f t="shared" si="33"/>
        <v>6.63</v>
      </c>
      <c r="S265">
        <f t="shared" si="34"/>
        <v>656.37</v>
      </c>
      <c r="T265" t="s">
        <v>25</v>
      </c>
    </row>
    <row r="266" spans="1:20">
      <c r="A266" s="4">
        <v>4687336</v>
      </c>
      <c r="B266" s="5">
        <v>45515</v>
      </c>
      <c r="C266" s="4" t="s">
        <v>105</v>
      </c>
      <c r="D266" s="4" t="s">
        <v>44</v>
      </c>
      <c r="E266" s="4" t="s">
        <v>24</v>
      </c>
      <c r="F266" s="4">
        <v>47</v>
      </c>
      <c r="G266" s="4">
        <v>0</v>
      </c>
      <c r="H266" s="4">
        <v>7</v>
      </c>
      <c r="I266" s="4">
        <v>0</v>
      </c>
      <c r="J266">
        <v>17</v>
      </c>
      <c r="K266">
        <v>22</v>
      </c>
      <c r="L266">
        <v>8</v>
      </c>
      <c r="M266">
        <f t="shared" si="28"/>
        <v>799</v>
      </c>
      <c r="N266">
        <f t="shared" si="29"/>
        <v>0</v>
      </c>
      <c r="O266">
        <f t="shared" si="30"/>
        <v>56</v>
      </c>
      <c r="P266">
        <f t="shared" si="31"/>
        <v>0</v>
      </c>
      <c r="Q266">
        <f t="shared" si="32"/>
        <v>855</v>
      </c>
      <c r="R266">
        <f t="shared" si="33"/>
        <v>8.55</v>
      </c>
      <c r="S266">
        <f t="shared" si="34"/>
        <v>846.45</v>
      </c>
      <c r="T266" t="s">
        <v>25</v>
      </c>
    </row>
    <row r="267" spans="1:20">
      <c r="A267" s="4">
        <v>4694879</v>
      </c>
      <c r="B267" s="5">
        <v>45511</v>
      </c>
      <c r="C267" s="4" t="s">
        <v>106</v>
      </c>
      <c r="D267" s="4" t="s">
        <v>107</v>
      </c>
      <c r="E267" s="4" t="s">
        <v>24</v>
      </c>
      <c r="F267" s="4">
        <v>28</v>
      </c>
      <c r="G267" s="4">
        <v>0</v>
      </c>
      <c r="H267" s="4">
        <v>4</v>
      </c>
      <c r="I267" s="4">
        <v>0</v>
      </c>
      <c r="J267">
        <v>17</v>
      </c>
      <c r="K267">
        <v>22</v>
      </c>
      <c r="L267">
        <v>8</v>
      </c>
      <c r="M267">
        <f t="shared" si="28"/>
        <v>476</v>
      </c>
      <c r="N267">
        <f t="shared" si="29"/>
        <v>0</v>
      </c>
      <c r="O267">
        <f t="shared" si="30"/>
        <v>32</v>
      </c>
      <c r="P267">
        <f t="shared" si="31"/>
        <v>0</v>
      </c>
      <c r="Q267">
        <f t="shared" si="32"/>
        <v>508</v>
      </c>
      <c r="R267">
        <f t="shared" si="33"/>
        <v>5.08</v>
      </c>
      <c r="S267">
        <f t="shared" si="34"/>
        <v>502.92</v>
      </c>
      <c r="T267" t="s">
        <v>25</v>
      </c>
    </row>
    <row r="268" spans="1:20">
      <c r="A268" s="4">
        <v>4694879</v>
      </c>
      <c r="B268" s="5">
        <v>45512</v>
      </c>
      <c r="C268" s="4" t="s">
        <v>106</v>
      </c>
      <c r="D268" s="4" t="s">
        <v>107</v>
      </c>
      <c r="E268" s="4" t="s">
        <v>24</v>
      </c>
      <c r="F268" s="4">
        <v>29</v>
      </c>
      <c r="G268" s="4">
        <v>0</v>
      </c>
      <c r="H268" s="4">
        <v>6</v>
      </c>
      <c r="I268" s="4">
        <v>0</v>
      </c>
      <c r="J268">
        <v>17</v>
      </c>
      <c r="K268">
        <v>22</v>
      </c>
      <c r="L268">
        <v>8</v>
      </c>
      <c r="M268">
        <f t="shared" si="28"/>
        <v>493</v>
      </c>
      <c r="N268">
        <f t="shared" si="29"/>
        <v>0</v>
      </c>
      <c r="O268">
        <f t="shared" si="30"/>
        <v>48</v>
      </c>
      <c r="P268">
        <f t="shared" si="31"/>
        <v>0</v>
      </c>
      <c r="Q268">
        <f t="shared" si="32"/>
        <v>541</v>
      </c>
      <c r="R268">
        <f t="shared" si="33"/>
        <v>5.41</v>
      </c>
      <c r="S268">
        <f t="shared" si="34"/>
        <v>535.59</v>
      </c>
      <c r="T268" t="s">
        <v>25</v>
      </c>
    </row>
    <row r="269" spans="1:20">
      <c r="A269" s="4">
        <v>4694879</v>
      </c>
      <c r="B269" s="5">
        <v>45513</v>
      </c>
      <c r="C269" s="4" t="s">
        <v>106</v>
      </c>
      <c r="D269" s="4" t="s">
        <v>107</v>
      </c>
      <c r="E269" s="4" t="s">
        <v>24</v>
      </c>
      <c r="F269" s="4">
        <v>29</v>
      </c>
      <c r="G269" s="4">
        <v>0</v>
      </c>
      <c r="H269" s="4">
        <v>11</v>
      </c>
      <c r="I269" s="4">
        <v>0</v>
      </c>
      <c r="J269">
        <v>17</v>
      </c>
      <c r="K269">
        <v>22</v>
      </c>
      <c r="L269">
        <v>8</v>
      </c>
      <c r="M269">
        <f t="shared" si="28"/>
        <v>493</v>
      </c>
      <c r="N269">
        <f t="shared" si="29"/>
        <v>0</v>
      </c>
      <c r="O269">
        <f t="shared" si="30"/>
        <v>88</v>
      </c>
      <c r="P269">
        <f t="shared" si="31"/>
        <v>0</v>
      </c>
      <c r="Q269">
        <f t="shared" si="32"/>
        <v>581</v>
      </c>
      <c r="R269">
        <f t="shared" si="33"/>
        <v>5.81</v>
      </c>
      <c r="S269">
        <f t="shared" si="34"/>
        <v>575.19</v>
      </c>
      <c r="T269" t="s">
        <v>25</v>
      </c>
    </row>
    <row r="270" spans="1:20">
      <c r="A270" s="4">
        <v>4694879</v>
      </c>
      <c r="B270" s="5">
        <v>45514</v>
      </c>
      <c r="C270" s="4" t="s">
        <v>106</v>
      </c>
      <c r="D270" s="4" t="s">
        <v>107</v>
      </c>
      <c r="E270" s="4" t="s">
        <v>24</v>
      </c>
      <c r="F270" s="4">
        <v>26</v>
      </c>
      <c r="G270" s="4">
        <v>0</v>
      </c>
      <c r="H270" s="4">
        <v>4</v>
      </c>
      <c r="I270" s="4">
        <v>0</v>
      </c>
      <c r="J270">
        <v>17</v>
      </c>
      <c r="K270">
        <v>22</v>
      </c>
      <c r="L270">
        <v>8</v>
      </c>
      <c r="M270">
        <f t="shared" si="28"/>
        <v>442</v>
      </c>
      <c r="N270">
        <f t="shared" si="29"/>
        <v>0</v>
      </c>
      <c r="O270">
        <f t="shared" si="30"/>
        <v>32</v>
      </c>
      <c r="P270">
        <f t="shared" si="31"/>
        <v>0</v>
      </c>
      <c r="Q270">
        <f t="shared" si="32"/>
        <v>474</v>
      </c>
      <c r="R270">
        <f t="shared" si="33"/>
        <v>4.74</v>
      </c>
      <c r="S270">
        <f t="shared" si="34"/>
        <v>469.26</v>
      </c>
      <c r="T270" t="s">
        <v>25</v>
      </c>
    </row>
    <row r="271" spans="1:20">
      <c r="A271" s="4">
        <v>4694879</v>
      </c>
      <c r="B271" s="5">
        <v>45515</v>
      </c>
      <c r="C271" s="4" t="s">
        <v>106</v>
      </c>
      <c r="D271" s="4" t="s">
        <v>107</v>
      </c>
      <c r="E271" s="4" t="s">
        <v>24</v>
      </c>
      <c r="F271" s="4">
        <v>28</v>
      </c>
      <c r="G271" s="4">
        <v>0</v>
      </c>
      <c r="H271" s="4">
        <v>7</v>
      </c>
      <c r="I271" s="4">
        <v>0</v>
      </c>
      <c r="J271">
        <v>17</v>
      </c>
      <c r="K271">
        <v>22</v>
      </c>
      <c r="L271">
        <v>8</v>
      </c>
      <c r="M271">
        <f t="shared" si="28"/>
        <v>476</v>
      </c>
      <c r="N271">
        <f t="shared" si="29"/>
        <v>0</v>
      </c>
      <c r="O271">
        <f t="shared" si="30"/>
        <v>56</v>
      </c>
      <c r="P271">
        <f t="shared" si="31"/>
        <v>0</v>
      </c>
      <c r="Q271">
        <f t="shared" si="32"/>
        <v>532</v>
      </c>
      <c r="R271">
        <f t="shared" si="33"/>
        <v>5.32</v>
      </c>
      <c r="S271">
        <f t="shared" si="34"/>
        <v>526.68</v>
      </c>
      <c r="T271" t="s">
        <v>25</v>
      </c>
    </row>
    <row r="272" spans="1:20">
      <c r="A272" s="4">
        <v>4697395</v>
      </c>
      <c r="B272" s="5">
        <v>45510</v>
      </c>
      <c r="C272" s="4" t="s">
        <v>108</v>
      </c>
      <c r="D272" s="4" t="s">
        <v>39</v>
      </c>
      <c r="E272" s="4" t="s">
        <v>24</v>
      </c>
      <c r="F272" s="4">
        <v>0</v>
      </c>
      <c r="G272" s="4">
        <v>0</v>
      </c>
      <c r="H272" s="4">
        <v>0</v>
      </c>
      <c r="I272" s="4">
        <v>0</v>
      </c>
      <c r="J272">
        <v>17</v>
      </c>
      <c r="K272">
        <v>22</v>
      </c>
      <c r="L272">
        <v>8</v>
      </c>
      <c r="M272">
        <f t="shared" si="28"/>
        <v>0</v>
      </c>
      <c r="N272">
        <f t="shared" si="29"/>
        <v>0</v>
      </c>
      <c r="O272">
        <f t="shared" si="30"/>
        <v>0</v>
      </c>
      <c r="P272">
        <f t="shared" si="31"/>
        <v>0</v>
      </c>
      <c r="Q272">
        <f t="shared" si="32"/>
        <v>0</v>
      </c>
      <c r="R272">
        <f t="shared" si="33"/>
        <v>0</v>
      </c>
      <c r="S272">
        <f t="shared" si="34"/>
        <v>0</v>
      </c>
      <c r="T272" t="s">
        <v>25</v>
      </c>
    </row>
    <row r="273" spans="1:20">
      <c r="A273" s="4">
        <v>4697395</v>
      </c>
      <c r="B273" s="5">
        <v>45511</v>
      </c>
      <c r="C273" s="4" t="s">
        <v>108</v>
      </c>
      <c r="D273" s="4" t="s">
        <v>39</v>
      </c>
      <c r="E273" s="4" t="s">
        <v>24</v>
      </c>
      <c r="F273" s="4">
        <v>2</v>
      </c>
      <c r="G273" s="4">
        <v>0</v>
      </c>
      <c r="H273" s="4">
        <v>1</v>
      </c>
      <c r="I273" s="4">
        <v>0</v>
      </c>
      <c r="J273">
        <v>17</v>
      </c>
      <c r="K273">
        <v>22</v>
      </c>
      <c r="L273">
        <v>8</v>
      </c>
      <c r="M273">
        <f t="shared" si="28"/>
        <v>34</v>
      </c>
      <c r="N273">
        <f t="shared" si="29"/>
        <v>0</v>
      </c>
      <c r="O273">
        <f t="shared" si="30"/>
        <v>8</v>
      </c>
      <c r="P273">
        <f t="shared" si="31"/>
        <v>0</v>
      </c>
      <c r="Q273">
        <f t="shared" si="32"/>
        <v>42</v>
      </c>
      <c r="R273">
        <f t="shared" si="33"/>
        <v>0.42</v>
      </c>
      <c r="S273">
        <f t="shared" si="34"/>
        <v>41.58</v>
      </c>
      <c r="T273" t="s">
        <v>25</v>
      </c>
    </row>
    <row r="274" spans="1:20">
      <c r="A274" s="4">
        <v>4697395</v>
      </c>
      <c r="B274" s="5">
        <v>45513</v>
      </c>
      <c r="C274" s="4" t="s">
        <v>108</v>
      </c>
      <c r="D274" s="4" t="s">
        <v>39</v>
      </c>
      <c r="E274" s="4" t="s">
        <v>24</v>
      </c>
      <c r="F274" s="4">
        <v>5</v>
      </c>
      <c r="G274" s="4">
        <v>0</v>
      </c>
      <c r="H274" s="4">
        <v>0</v>
      </c>
      <c r="I274" s="4">
        <v>0</v>
      </c>
      <c r="J274">
        <v>17</v>
      </c>
      <c r="K274">
        <v>22</v>
      </c>
      <c r="L274">
        <v>8</v>
      </c>
      <c r="M274">
        <f t="shared" si="28"/>
        <v>85</v>
      </c>
      <c r="N274">
        <f t="shared" si="29"/>
        <v>0</v>
      </c>
      <c r="O274">
        <f t="shared" si="30"/>
        <v>0</v>
      </c>
      <c r="P274">
        <f t="shared" si="31"/>
        <v>0</v>
      </c>
      <c r="Q274">
        <f t="shared" si="32"/>
        <v>85</v>
      </c>
      <c r="R274">
        <f t="shared" si="33"/>
        <v>0.85</v>
      </c>
      <c r="S274">
        <f t="shared" si="34"/>
        <v>84.15</v>
      </c>
      <c r="T274" t="s">
        <v>25</v>
      </c>
    </row>
    <row r="275" spans="1:20">
      <c r="A275" s="4">
        <v>4697395</v>
      </c>
      <c r="B275" s="5">
        <v>45514</v>
      </c>
      <c r="C275" s="4" t="s">
        <v>108</v>
      </c>
      <c r="D275" s="4" t="s">
        <v>39</v>
      </c>
      <c r="E275" s="4" t="s">
        <v>24</v>
      </c>
      <c r="F275" s="4">
        <v>9</v>
      </c>
      <c r="G275" s="4">
        <v>0</v>
      </c>
      <c r="H275" s="4">
        <v>1</v>
      </c>
      <c r="I275" s="4">
        <v>0</v>
      </c>
      <c r="J275">
        <v>17</v>
      </c>
      <c r="K275">
        <v>22</v>
      </c>
      <c r="L275">
        <v>8</v>
      </c>
      <c r="M275">
        <f t="shared" si="28"/>
        <v>153</v>
      </c>
      <c r="N275">
        <f t="shared" si="29"/>
        <v>0</v>
      </c>
      <c r="O275">
        <f t="shared" si="30"/>
        <v>8</v>
      </c>
      <c r="P275">
        <f t="shared" si="31"/>
        <v>0</v>
      </c>
      <c r="Q275">
        <f t="shared" si="32"/>
        <v>161</v>
      </c>
      <c r="R275">
        <f t="shared" si="33"/>
        <v>1.61</v>
      </c>
      <c r="S275">
        <f t="shared" si="34"/>
        <v>159.39</v>
      </c>
      <c r="T275" t="s">
        <v>25</v>
      </c>
    </row>
    <row r="276" spans="1:20">
      <c r="A276" s="4">
        <v>4697395</v>
      </c>
      <c r="B276" s="5">
        <v>45515</v>
      </c>
      <c r="C276" s="4" t="s">
        <v>108</v>
      </c>
      <c r="D276" s="4" t="s">
        <v>39</v>
      </c>
      <c r="E276" s="4" t="s">
        <v>24</v>
      </c>
      <c r="F276" s="4">
        <v>14</v>
      </c>
      <c r="G276" s="4">
        <v>0</v>
      </c>
      <c r="H276" s="4">
        <v>2</v>
      </c>
      <c r="I276" s="4">
        <v>0</v>
      </c>
      <c r="J276">
        <v>17</v>
      </c>
      <c r="K276">
        <v>22</v>
      </c>
      <c r="L276">
        <v>8</v>
      </c>
      <c r="M276">
        <f t="shared" si="28"/>
        <v>238</v>
      </c>
      <c r="N276">
        <f t="shared" si="29"/>
        <v>0</v>
      </c>
      <c r="O276">
        <f t="shared" si="30"/>
        <v>16</v>
      </c>
      <c r="P276">
        <f t="shared" si="31"/>
        <v>0</v>
      </c>
      <c r="Q276">
        <f t="shared" si="32"/>
        <v>254</v>
      </c>
      <c r="R276">
        <f t="shared" si="33"/>
        <v>2.54</v>
      </c>
      <c r="S276">
        <f t="shared" si="34"/>
        <v>251.46</v>
      </c>
      <c r="T276" t="s">
        <v>25</v>
      </c>
    </row>
    <row r="277" spans="1:20">
      <c r="A277" s="4">
        <v>4702581</v>
      </c>
      <c r="B277" s="5">
        <v>45509</v>
      </c>
      <c r="C277" s="4" t="s">
        <v>109</v>
      </c>
      <c r="D277" s="4" t="s">
        <v>44</v>
      </c>
      <c r="E277" s="4" t="s">
        <v>24</v>
      </c>
      <c r="F277" s="4">
        <v>50</v>
      </c>
      <c r="G277" s="4">
        <v>0</v>
      </c>
      <c r="H277" s="4">
        <v>3</v>
      </c>
      <c r="I277" s="4">
        <v>0</v>
      </c>
      <c r="J277">
        <v>17</v>
      </c>
      <c r="K277">
        <v>22</v>
      </c>
      <c r="L277">
        <v>8</v>
      </c>
      <c r="M277">
        <f t="shared" si="28"/>
        <v>850</v>
      </c>
      <c r="N277">
        <f t="shared" si="29"/>
        <v>0</v>
      </c>
      <c r="O277">
        <f t="shared" si="30"/>
        <v>24</v>
      </c>
      <c r="P277">
        <f t="shared" si="31"/>
        <v>0</v>
      </c>
      <c r="Q277">
        <f t="shared" si="32"/>
        <v>874</v>
      </c>
      <c r="R277">
        <f t="shared" si="33"/>
        <v>8.74</v>
      </c>
      <c r="S277">
        <f t="shared" si="34"/>
        <v>865.26</v>
      </c>
      <c r="T277" t="s">
        <v>25</v>
      </c>
    </row>
    <row r="278" spans="1:20">
      <c r="A278" s="4">
        <v>4702581</v>
      </c>
      <c r="B278" s="5">
        <v>45511</v>
      </c>
      <c r="C278" s="4" t="s">
        <v>109</v>
      </c>
      <c r="D278" s="4" t="s">
        <v>44</v>
      </c>
      <c r="E278" s="4" t="s">
        <v>24</v>
      </c>
      <c r="F278" s="4">
        <v>48</v>
      </c>
      <c r="G278" s="4">
        <v>11</v>
      </c>
      <c r="H278" s="4">
        <v>11</v>
      </c>
      <c r="I278" s="4">
        <v>0</v>
      </c>
      <c r="J278">
        <v>17</v>
      </c>
      <c r="K278">
        <v>22</v>
      </c>
      <c r="L278">
        <v>8</v>
      </c>
      <c r="M278">
        <f t="shared" si="28"/>
        <v>816</v>
      </c>
      <c r="N278">
        <f t="shared" si="29"/>
        <v>242</v>
      </c>
      <c r="O278">
        <f t="shared" si="30"/>
        <v>88</v>
      </c>
      <c r="P278">
        <f t="shared" si="31"/>
        <v>0</v>
      </c>
      <c r="Q278">
        <f t="shared" si="32"/>
        <v>1146</v>
      </c>
      <c r="R278">
        <f t="shared" si="33"/>
        <v>11.46</v>
      </c>
      <c r="S278">
        <f t="shared" si="34"/>
        <v>1134.54</v>
      </c>
      <c r="T278" t="s">
        <v>25</v>
      </c>
    </row>
    <row r="279" spans="1:20">
      <c r="A279" s="4">
        <v>4702581</v>
      </c>
      <c r="B279" s="5">
        <v>45512</v>
      </c>
      <c r="C279" s="4" t="s">
        <v>109</v>
      </c>
      <c r="D279" s="4" t="s">
        <v>44</v>
      </c>
      <c r="E279" s="4" t="s">
        <v>24</v>
      </c>
      <c r="F279" s="4">
        <v>47</v>
      </c>
      <c r="G279" s="4">
        <v>0</v>
      </c>
      <c r="H279" s="4">
        <v>9</v>
      </c>
      <c r="I279" s="4">
        <v>0</v>
      </c>
      <c r="J279">
        <v>17</v>
      </c>
      <c r="K279">
        <v>22</v>
      </c>
      <c r="L279">
        <v>8</v>
      </c>
      <c r="M279">
        <f t="shared" si="28"/>
        <v>799</v>
      </c>
      <c r="N279">
        <f t="shared" si="29"/>
        <v>0</v>
      </c>
      <c r="O279">
        <f t="shared" si="30"/>
        <v>72</v>
      </c>
      <c r="P279">
        <f t="shared" si="31"/>
        <v>0</v>
      </c>
      <c r="Q279">
        <f t="shared" si="32"/>
        <v>871</v>
      </c>
      <c r="R279">
        <f t="shared" si="33"/>
        <v>8.71</v>
      </c>
      <c r="S279">
        <f t="shared" si="34"/>
        <v>862.29</v>
      </c>
      <c r="T279" t="s">
        <v>25</v>
      </c>
    </row>
    <row r="280" spans="1:20">
      <c r="A280" s="4">
        <v>4702581</v>
      </c>
      <c r="B280" s="5">
        <v>45513</v>
      </c>
      <c r="C280" s="4" t="s">
        <v>109</v>
      </c>
      <c r="D280" s="4" t="s">
        <v>44</v>
      </c>
      <c r="E280" s="4" t="s">
        <v>24</v>
      </c>
      <c r="F280" s="4">
        <v>63</v>
      </c>
      <c r="G280" s="4">
        <v>0</v>
      </c>
      <c r="H280" s="4">
        <v>5</v>
      </c>
      <c r="I280" s="4">
        <v>0</v>
      </c>
      <c r="J280">
        <v>17</v>
      </c>
      <c r="K280">
        <v>22</v>
      </c>
      <c r="L280">
        <v>8</v>
      </c>
      <c r="M280">
        <f t="shared" si="28"/>
        <v>1071</v>
      </c>
      <c r="N280">
        <f t="shared" si="29"/>
        <v>0</v>
      </c>
      <c r="O280">
        <f t="shared" si="30"/>
        <v>40</v>
      </c>
      <c r="P280">
        <f t="shared" si="31"/>
        <v>0</v>
      </c>
      <c r="Q280">
        <f t="shared" si="32"/>
        <v>1111</v>
      </c>
      <c r="R280">
        <f t="shared" si="33"/>
        <v>11.11</v>
      </c>
      <c r="S280">
        <f t="shared" si="34"/>
        <v>1099.89</v>
      </c>
      <c r="T280" t="s">
        <v>25</v>
      </c>
    </row>
    <row r="281" spans="1:20">
      <c r="A281" s="4">
        <v>4702581</v>
      </c>
      <c r="B281" s="5">
        <v>45514</v>
      </c>
      <c r="C281" s="4" t="s">
        <v>109</v>
      </c>
      <c r="D281" s="4" t="s">
        <v>44</v>
      </c>
      <c r="E281" s="4" t="s">
        <v>24</v>
      </c>
      <c r="F281" s="4">
        <v>47</v>
      </c>
      <c r="G281" s="4">
        <v>8</v>
      </c>
      <c r="H281" s="4">
        <v>3</v>
      </c>
      <c r="I281" s="4">
        <v>0</v>
      </c>
      <c r="J281">
        <v>17</v>
      </c>
      <c r="K281">
        <v>22</v>
      </c>
      <c r="L281">
        <v>8</v>
      </c>
      <c r="M281">
        <f t="shared" si="28"/>
        <v>799</v>
      </c>
      <c r="N281">
        <f t="shared" si="29"/>
        <v>176</v>
      </c>
      <c r="O281">
        <f t="shared" si="30"/>
        <v>24</v>
      </c>
      <c r="P281">
        <f t="shared" si="31"/>
        <v>0</v>
      </c>
      <c r="Q281">
        <f t="shared" si="32"/>
        <v>999</v>
      </c>
      <c r="R281">
        <f t="shared" si="33"/>
        <v>9.99</v>
      </c>
      <c r="S281">
        <f t="shared" si="34"/>
        <v>989.01</v>
      </c>
      <c r="T281" t="s">
        <v>25</v>
      </c>
    </row>
    <row r="282" spans="1:20">
      <c r="A282" s="4">
        <v>4702581</v>
      </c>
      <c r="B282" s="5">
        <v>45515</v>
      </c>
      <c r="C282" s="4" t="s">
        <v>109</v>
      </c>
      <c r="D282" s="4" t="s">
        <v>44</v>
      </c>
      <c r="E282" s="4" t="s">
        <v>24</v>
      </c>
      <c r="F282" s="4">
        <v>54</v>
      </c>
      <c r="G282" s="4">
        <v>21</v>
      </c>
      <c r="H282" s="4">
        <v>13</v>
      </c>
      <c r="I282" s="4">
        <v>0</v>
      </c>
      <c r="J282">
        <v>17</v>
      </c>
      <c r="K282">
        <v>22</v>
      </c>
      <c r="L282">
        <v>8</v>
      </c>
      <c r="M282">
        <f t="shared" si="28"/>
        <v>918</v>
      </c>
      <c r="N282">
        <f t="shared" si="29"/>
        <v>462</v>
      </c>
      <c r="O282">
        <f t="shared" si="30"/>
        <v>104</v>
      </c>
      <c r="P282">
        <f t="shared" si="31"/>
        <v>0</v>
      </c>
      <c r="Q282">
        <f t="shared" si="32"/>
        <v>1484</v>
      </c>
      <c r="R282">
        <f t="shared" si="33"/>
        <v>14.84</v>
      </c>
      <c r="S282">
        <f t="shared" si="34"/>
        <v>1469.16</v>
      </c>
      <c r="T282" t="s">
        <v>25</v>
      </c>
    </row>
    <row r="283" spans="1:20">
      <c r="A283" s="4">
        <v>4727309</v>
      </c>
      <c r="B283" s="5">
        <v>45509</v>
      </c>
      <c r="C283" s="4" t="s">
        <v>110</v>
      </c>
      <c r="D283" s="4" t="s">
        <v>111</v>
      </c>
      <c r="E283" s="4" t="s">
        <v>24</v>
      </c>
      <c r="F283" s="4">
        <v>21</v>
      </c>
      <c r="G283" s="4">
        <v>0</v>
      </c>
      <c r="H283" s="4">
        <v>1</v>
      </c>
      <c r="I283" s="4">
        <v>0</v>
      </c>
      <c r="J283">
        <v>17</v>
      </c>
      <c r="K283">
        <v>22</v>
      </c>
      <c r="L283">
        <v>8</v>
      </c>
      <c r="M283">
        <f t="shared" si="28"/>
        <v>357</v>
      </c>
      <c r="N283">
        <f t="shared" si="29"/>
        <v>0</v>
      </c>
      <c r="O283">
        <f t="shared" si="30"/>
        <v>8</v>
      </c>
      <c r="P283">
        <f t="shared" si="31"/>
        <v>0</v>
      </c>
      <c r="Q283">
        <f t="shared" si="32"/>
        <v>365</v>
      </c>
      <c r="R283">
        <f t="shared" si="33"/>
        <v>3.65</v>
      </c>
      <c r="S283">
        <f t="shared" si="34"/>
        <v>361.35</v>
      </c>
      <c r="T283" t="s">
        <v>25</v>
      </c>
    </row>
    <row r="284" spans="1:20">
      <c r="A284" s="4">
        <v>4727309</v>
      </c>
      <c r="B284" s="5">
        <v>45510</v>
      </c>
      <c r="C284" s="4" t="s">
        <v>110</v>
      </c>
      <c r="D284" s="4" t="s">
        <v>111</v>
      </c>
      <c r="E284" s="4" t="s">
        <v>24</v>
      </c>
      <c r="F284" s="4">
        <v>21</v>
      </c>
      <c r="G284" s="4">
        <v>0</v>
      </c>
      <c r="H284" s="4">
        <v>17</v>
      </c>
      <c r="I284" s="4">
        <v>0</v>
      </c>
      <c r="J284">
        <v>17</v>
      </c>
      <c r="K284">
        <v>22</v>
      </c>
      <c r="L284">
        <v>8</v>
      </c>
      <c r="M284">
        <f t="shared" si="28"/>
        <v>357</v>
      </c>
      <c r="N284">
        <f t="shared" si="29"/>
        <v>0</v>
      </c>
      <c r="O284">
        <f t="shared" si="30"/>
        <v>136</v>
      </c>
      <c r="P284">
        <f t="shared" si="31"/>
        <v>0</v>
      </c>
      <c r="Q284">
        <f t="shared" si="32"/>
        <v>493</v>
      </c>
      <c r="R284">
        <f t="shared" si="33"/>
        <v>4.93</v>
      </c>
      <c r="S284">
        <f t="shared" si="34"/>
        <v>488.07</v>
      </c>
      <c r="T284" t="s">
        <v>25</v>
      </c>
    </row>
    <row r="285" spans="1:20">
      <c r="A285" s="4">
        <v>4727309</v>
      </c>
      <c r="B285" s="5">
        <v>45512</v>
      </c>
      <c r="C285" s="4" t="s">
        <v>110</v>
      </c>
      <c r="D285" s="4" t="s">
        <v>111</v>
      </c>
      <c r="E285" s="4" t="s">
        <v>24</v>
      </c>
      <c r="F285" s="4">
        <v>2</v>
      </c>
      <c r="G285" s="4">
        <v>13</v>
      </c>
      <c r="H285" s="4">
        <v>2</v>
      </c>
      <c r="I285" s="4">
        <v>0</v>
      </c>
      <c r="J285">
        <v>17</v>
      </c>
      <c r="K285">
        <v>22</v>
      </c>
      <c r="L285">
        <v>8</v>
      </c>
      <c r="M285">
        <f t="shared" si="28"/>
        <v>34</v>
      </c>
      <c r="N285">
        <f t="shared" si="29"/>
        <v>286</v>
      </c>
      <c r="O285">
        <f t="shared" si="30"/>
        <v>16</v>
      </c>
      <c r="P285">
        <f t="shared" si="31"/>
        <v>0</v>
      </c>
      <c r="Q285">
        <f t="shared" si="32"/>
        <v>336</v>
      </c>
      <c r="R285">
        <f t="shared" si="33"/>
        <v>3.36</v>
      </c>
      <c r="S285">
        <f t="shared" si="34"/>
        <v>332.64</v>
      </c>
      <c r="T285" t="s">
        <v>25</v>
      </c>
    </row>
    <row r="286" spans="1:20">
      <c r="A286" s="4">
        <v>4727309</v>
      </c>
      <c r="B286" s="5">
        <v>45513</v>
      </c>
      <c r="C286" s="4" t="s">
        <v>110</v>
      </c>
      <c r="D286" s="4" t="s">
        <v>111</v>
      </c>
      <c r="E286" s="4" t="s">
        <v>24</v>
      </c>
      <c r="F286" s="4">
        <v>0</v>
      </c>
      <c r="G286" s="4">
        <v>10</v>
      </c>
      <c r="H286" s="4">
        <v>10</v>
      </c>
      <c r="I286" s="4">
        <v>0</v>
      </c>
      <c r="J286">
        <v>17</v>
      </c>
      <c r="K286">
        <v>22</v>
      </c>
      <c r="L286">
        <v>8</v>
      </c>
      <c r="M286">
        <f t="shared" si="28"/>
        <v>0</v>
      </c>
      <c r="N286">
        <f t="shared" si="29"/>
        <v>220</v>
      </c>
      <c r="O286">
        <f t="shared" si="30"/>
        <v>80</v>
      </c>
      <c r="P286">
        <f t="shared" si="31"/>
        <v>0</v>
      </c>
      <c r="Q286">
        <f t="shared" si="32"/>
        <v>300</v>
      </c>
      <c r="R286">
        <f t="shared" si="33"/>
        <v>3</v>
      </c>
      <c r="S286">
        <f t="shared" si="34"/>
        <v>297</v>
      </c>
      <c r="T286" t="s">
        <v>25</v>
      </c>
    </row>
    <row r="287" spans="1:20">
      <c r="A287" s="4">
        <v>4727309</v>
      </c>
      <c r="B287" s="5">
        <v>45514</v>
      </c>
      <c r="C287" s="4" t="s">
        <v>110</v>
      </c>
      <c r="D287" s="4" t="s">
        <v>111</v>
      </c>
      <c r="E287" s="4" t="s">
        <v>24</v>
      </c>
      <c r="F287" s="4">
        <v>0</v>
      </c>
      <c r="G287" s="4">
        <v>22</v>
      </c>
      <c r="H287" s="4">
        <v>3</v>
      </c>
      <c r="I287" s="4">
        <v>0</v>
      </c>
      <c r="J287">
        <v>17</v>
      </c>
      <c r="K287">
        <v>22</v>
      </c>
      <c r="L287">
        <v>8</v>
      </c>
      <c r="M287">
        <f t="shared" si="28"/>
        <v>0</v>
      </c>
      <c r="N287">
        <f t="shared" si="29"/>
        <v>484</v>
      </c>
      <c r="O287">
        <f t="shared" si="30"/>
        <v>24</v>
      </c>
      <c r="P287">
        <f t="shared" si="31"/>
        <v>0</v>
      </c>
      <c r="Q287">
        <f t="shared" si="32"/>
        <v>508</v>
      </c>
      <c r="R287">
        <f t="shared" si="33"/>
        <v>5.08</v>
      </c>
      <c r="S287">
        <f t="shared" si="34"/>
        <v>502.92</v>
      </c>
      <c r="T287" t="s">
        <v>25</v>
      </c>
    </row>
    <row r="288" spans="1:20">
      <c r="A288" s="4">
        <v>4742088</v>
      </c>
      <c r="B288" s="5">
        <v>45509</v>
      </c>
      <c r="C288" s="4" t="s">
        <v>112</v>
      </c>
      <c r="D288" s="4" t="s">
        <v>39</v>
      </c>
      <c r="E288" s="4" t="s">
        <v>24</v>
      </c>
      <c r="F288" s="4">
        <v>24</v>
      </c>
      <c r="G288" s="4">
        <v>0</v>
      </c>
      <c r="H288" s="4">
        <v>6</v>
      </c>
      <c r="I288" s="4">
        <v>0</v>
      </c>
      <c r="J288">
        <v>17</v>
      </c>
      <c r="K288">
        <v>22</v>
      </c>
      <c r="L288">
        <v>8</v>
      </c>
      <c r="M288">
        <f t="shared" si="28"/>
        <v>408</v>
      </c>
      <c r="N288">
        <f t="shared" si="29"/>
        <v>0</v>
      </c>
      <c r="O288">
        <f t="shared" si="30"/>
        <v>48</v>
      </c>
      <c r="P288">
        <f t="shared" si="31"/>
        <v>0</v>
      </c>
      <c r="Q288">
        <f t="shared" si="32"/>
        <v>456</v>
      </c>
      <c r="R288">
        <f t="shared" si="33"/>
        <v>4.56</v>
      </c>
      <c r="S288">
        <f t="shared" si="34"/>
        <v>451.44</v>
      </c>
      <c r="T288" t="s">
        <v>25</v>
      </c>
    </row>
    <row r="289" spans="1:20">
      <c r="A289" s="4">
        <v>4742088</v>
      </c>
      <c r="B289" s="5">
        <v>45510</v>
      </c>
      <c r="C289" s="4" t="s">
        <v>112</v>
      </c>
      <c r="D289" s="4" t="s">
        <v>39</v>
      </c>
      <c r="E289" s="4" t="s">
        <v>24</v>
      </c>
      <c r="F289" s="4">
        <v>18</v>
      </c>
      <c r="G289" s="4">
        <v>0</v>
      </c>
      <c r="H289" s="4">
        <v>2</v>
      </c>
      <c r="I289" s="4">
        <v>0</v>
      </c>
      <c r="J289">
        <v>17</v>
      </c>
      <c r="K289">
        <v>22</v>
      </c>
      <c r="L289">
        <v>8</v>
      </c>
      <c r="M289">
        <f t="shared" si="28"/>
        <v>306</v>
      </c>
      <c r="N289">
        <f t="shared" si="29"/>
        <v>0</v>
      </c>
      <c r="O289">
        <f t="shared" si="30"/>
        <v>16</v>
      </c>
      <c r="P289">
        <f t="shared" si="31"/>
        <v>0</v>
      </c>
      <c r="Q289">
        <f t="shared" si="32"/>
        <v>322</v>
      </c>
      <c r="R289">
        <f t="shared" si="33"/>
        <v>3.22</v>
      </c>
      <c r="S289">
        <f t="shared" si="34"/>
        <v>318.78</v>
      </c>
      <c r="T289" t="s">
        <v>25</v>
      </c>
    </row>
    <row r="290" spans="1:20">
      <c r="A290" s="4">
        <v>4742088</v>
      </c>
      <c r="B290" s="5">
        <v>45511</v>
      </c>
      <c r="C290" s="4" t="s">
        <v>112</v>
      </c>
      <c r="D290" s="4" t="s">
        <v>39</v>
      </c>
      <c r="E290" s="4" t="s">
        <v>24</v>
      </c>
      <c r="F290" s="4">
        <v>34</v>
      </c>
      <c r="G290" s="4">
        <v>1</v>
      </c>
      <c r="H290" s="4">
        <v>1</v>
      </c>
      <c r="I290" s="4">
        <v>0</v>
      </c>
      <c r="J290">
        <v>17</v>
      </c>
      <c r="K290">
        <v>22</v>
      </c>
      <c r="L290">
        <v>8</v>
      </c>
      <c r="M290">
        <f t="shared" si="28"/>
        <v>578</v>
      </c>
      <c r="N290">
        <f t="shared" si="29"/>
        <v>22</v>
      </c>
      <c r="O290">
        <f t="shared" si="30"/>
        <v>8</v>
      </c>
      <c r="P290">
        <f t="shared" si="31"/>
        <v>0</v>
      </c>
      <c r="Q290">
        <f t="shared" si="32"/>
        <v>608</v>
      </c>
      <c r="R290">
        <f t="shared" si="33"/>
        <v>6.08</v>
      </c>
      <c r="S290">
        <f t="shared" si="34"/>
        <v>601.92</v>
      </c>
      <c r="T290" t="s">
        <v>25</v>
      </c>
    </row>
    <row r="291" spans="1:20">
      <c r="A291" s="4">
        <v>4742088</v>
      </c>
      <c r="B291" s="5">
        <v>45512</v>
      </c>
      <c r="C291" s="4" t="s">
        <v>112</v>
      </c>
      <c r="D291" s="4" t="s">
        <v>39</v>
      </c>
      <c r="E291" s="4" t="s">
        <v>24</v>
      </c>
      <c r="F291" s="4">
        <v>24</v>
      </c>
      <c r="G291" s="4">
        <v>10</v>
      </c>
      <c r="H291" s="4">
        <v>5</v>
      </c>
      <c r="I291" s="4">
        <v>0</v>
      </c>
      <c r="J291">
        <v>17</v>
      </c>
      <c r="K291">
        <v>22</v>
      </c>
      <c r="L291">
        <v>8</v>
      </c>
      <c r="M291">
        <f t="shared" si="28"/>
        <v>408</v>
      </c>
      <c r="N291">
        <f t="shared" si="29"/>
        <v>220</v>
      </c>
      <c r="O291">
        <f t="shared" si="30"/>
        <v>40</v>
      </c>
      <c r="P291">
        <f t="shared" si="31"/>
        <v>0</v>
      </c>
      <c r="Q291">
        <f t="shared" si="32"/>
        <v>668</v>
      </c>
      <c r="R291">
        <f t="shared" si="33"/>
        <v>6.68</v>
      </c>
      <c r="S291">
        <f t="shared" si="34"/>
        <v>661.32</v>
      </c>
      <c r="T291" t="s">
        <v>25</v>
      </c>
    </row>
    <row r="292" spans="1:20">
      <c r="A292" s="4">
        <v>4742088</v>
      </c>
      <c r="B292" s="5">
        <v>45513</v>
      </c>
      <c r="C292" s="4" t="s">
        <v>112</v>
      </c>
      <c r="D292" s="4" t="s">
        <v>39</v>
      </c>
      <c r="E292" s="4" t="s">
        <v>24</v>
      </c>
      <c r="F292" s="4">
        <v>26</v>
      </c>
      <c r="G292" s="4">
        <v>0</v>
      </c>
      <c r="H292" s="4">
        <v>3</v>
      </c>
      <c r="I292" s="4">
        <v>0</v>
      </c>
      <c r="J292">
        <v>17</v>
      </c>
      <c r="K292">
        <v>22</v>
      </c>
      <c r="L292">
        <v>8</v>
      </c>
      <c r="M292">
        <f t="shared" si="28"/>
        <v>442</v>
      </c>
      <c r="N292">
        <f t="shared" si="29"/>
        <v>0</v>
      </c>
      <c r="O292">
        <f t="shared" si="30"/>
        <v>24</v>
      </c>
      <c r="P292">
        <f t="shared" si="31"/>
        <v>0</v>
      </c>
      <c r="Q292">
        <f t="shared" si="32"/>
        <v>466</v>
      </c>
      <c r="R292">
        <f t="shared" si="33"/>
        <v>4.66</v>
      </c>
      <c r="S292">
        <f t="shared" si="34"/>
        <v>461.34</v>
      </c>
      <c r="T292" t="s">
        <v>25</v>
      </c>
    </row>
    <row r="293" spans="1:20">
      <c r="A293" s="4">
        <v>4742088</v>
      </c>
      <c r="B293" s="5">
        <v>45514</v>
      </c>
      <c r="C293" s="4" t="s">
        <v>112</v>
      </c>
      <c r="D293" s="4" t="s">
        <v>39</v>
      </c>
      <c r="E293" s="4" t="s">
        <v>24</v>
      </c>
      <c r="F293" s="4">
        <v>25</v>
      </c>
      <c r="G293" s="4">
        <v>0</v>
      </c>
      <c r="H293" s="4">
        <v>2</v>
      </c>
      <c r="I293" s="4">
        <v>0</v>
      </c>
      <c r="J293">
        <v>17</v>
      </c>
      <c r="K293">
        <v>22</v>
      </c>
      <c r="L293">
        <v>8</v>
      </c>
      <c r="M293">
        <f t="shared" si="28"/>
        <v>425</v>
      </c>
      <c r="N293">
        <f t="shared" si="29"/>
        <v>0</v>
      </c>
      <c r="O293">
        <f t="shared" si="30"/>
        <v>16</v>
      </c>
      <c r="P293">
        <f t="shared" si="31"/>
        <v>0</v>
      </c>
      <c r="Q293">
        <f t="shared" si="32"/>
        <v>441</v>
      </c>
      <c r="R293">
        <f t="shared" si="33"/>
        <v>4.41</v>
      </c>
      <c r="S293">
        <f t="shared" si="34"/>
        <v>436.59</v>
      </c>
      <c r="T293" t="s">
        <v>25</v>
      </c>
    </row>
    <row r="294" spans="1:20">
      <c r="A294" s="4">
        <v>4742088</v>
      </c>
      <c r="B294" s="5">
        <v>45515</v>
      </c>
      <c r="C294" s="4" t="s">
        <v>112</v>
      </c>
      <c r="D294" s="4" t="s">
        <v>39</v>
      </c>
      <c r="E294" s="4" t="s">
        <v>24</v>
      </c>
      <c r="F294" s="4">
        <v>25</v>
      </c>
      <c r="G294" s="4">
        <v>0</v>
      </c>
      <c r="H294" s="4">
        <v>1</v>
      </c>
      <c r="I294" s="4">
        <v>0</v>
      </c>
      <c r="J294">
        <v>17</v>
      </c>
      <c r="K294">
        <v>22</v>
      </c>
      <c r="L294">
        <v>8</v>
      </c>
      <c r="M294">
        <f t="shared" si="28"/>
        <v>425</v>
      </c>
      <c r="N294">
        <f t="shared" si="29"/>
        <v>0</v>
      </c>
      <c r="O294">
        <f t="shared" si="30"/>
        <v>8</v>
      </c>
      <c r="P294">
        <f t="shared" si="31"/>
        <v>0</v>
      </c>
      <c r="Q294">
        <f t="shared" si="32"/>
        <v>433</v>
      </c>
      <c r="R294">
        <f t="shared" si="33"/>
        <v>4.33</v>
      </c>
      <c r="S294">
        <f t="shared" si="34"/>
        <v>428.67</v>
      </c>
      <c r="T294" t="s">
        <v>25</v>
      </c>
    </row>
    <row r="295" spans="1:20">
      <c r="A295" s="4">
        <v>4780923</v>
      </c>
      <c r="B295" s="5">
        <v>45509</v>
      </c>
      <c r="C295" s="4" t="s">
        <v>113</v>
      </c>
      <c r="D295" s="4" t="s">
        <v>58</v>
      </c>
      <c r="E295" s="4" t="s">
        <v>24</v>
      </c>
      <c r="F295" s="4">
        <v>13</v>
      </c>
      <c r="G295" s="4">
        <v>12</v>
      </c>
      <c r="H295" s="4">
        <v>5</v>
      </c>
      <c r="I295" s="4">
        <v>0</v>
      </c>
      <c r="J295">
        <v>17</v>
      </c>
      <c r="K295">
        <v>22</v>
      </c>
      <c r="L295">
        <v>8</v>
      </c>
      <c r="M295">
        <f t="shared" si="28"/>
        <v>221</v>
      </c>
      <c r="N295">
        <f t="shared" si="29"/>
        <v>264</v>
      </c>
      <c r="O295">
        <f t="shared" si="30"/>
        <v>40</v>
      </c>
      <c r="P295">
        <f t="shared" si="31"/>
        <v>0</v>
      </c>
      <c r="Q295">
        <f t="shared" si="32"/>
        <v>525</v>
      </c>
      <c r="R295">
        <f t="shared" si="33"/>
        <v>5.25</v>
      </c>
      <c r="S295">
        <f t="shared" si="34"/>
        <v>519.75</v>
      </c>
      <c r="T295" t="s">
        <v>25</v>
      </c>
    </row>
    <row r="296" spans="1:20">
      <c r="A296" s="4">
        <v>4780923</v>
      </c>
      <c r="B296" s="5">
        <v>45510</v>
      </c>
      <c r="C296" s="4" t="s">
        <v>113</v>
      </c>
      <c r="D296" s="4" t="s">
        <v>58</v>
      </c>
      <c r="E296" s="4" t="s">
        <v>24</v>
      </c>
      <c r="F296" s="4">
        <v>1</v>
      </c>
      <c r="G296" s="4">
        <v>14</v>
      </c>
      <c r="H296" s="4">
        <v>0</v>
      </c>
      <c r="I296" s="4">
        <v>0</v>
      </c>
      <c r="J296">
        <v>17</v>
      </c>
      <c r="K296">
        <v>22</v>
      </c>
      <c r="L296">
        <v>8</v>
      </c>
      <c r="M296">
        <f t="shared" si="28"/>
        <v>17</v>
      </c>
      <c r="N296">
        <f t="shared" si="29"/>
        <v>308</v>
      </c>
      <c r="O296">
        <f t="shared" si="30"/>
        <v>0</v>
      </c>
      <c r="P296">
        <f t="shared" si="31"/>
        <v>0</v>
      </c>
      <c r="Q296">
        <f t="shared" si="32"/>
        <v>325</v>
      </c>
      <c r="R296">
        <f t="shared" si="33"/>
        <v>3.25</v>
      </c>
      <c r="S296">
        <f t="shared" si="34"/>
        <v>321.75</v>
      </c>
      <c r="T296" t="s">
        <v>25</v>
      </c>
    </row>
    <row r="297" spans="1:20">
      <c r="A297" s="4">
        <v>4780923</v>
      </c>
      <c r="B297" s="5">
        <v>45511</v>
      </c>
      <c r="C297" s="4" t="s">
        <v>113</v>
      </c>
      <c r="D297" s="4" t="s">
        <v>58</v>
      </c>
      <c r="E297" s="4" t="s">
        <v>24</v>
      </c>
      <c r="F297" s="4">
        <v>14</v>
      </c>
      <c r="G297" s="4">
        <v>0</v>
      </c>
      <c r="H297" s="4">
        <v>1</v>
      </c>
      <c r="I297" s="4">
        <v>0</v>
      </c>
      <c r="J297">
        <v>17</v>
      </c>
      <c r="K297">
        <v>22</v>
      </c>
      <c r="L297">
        <v>8</v>
      </c>
      <c r="M297">
        <f t="shared" si="28"/>
        <v>238</v>
      </c>
      <c r="N297">
        <f t="shared" si="29"/>
        <v>0</v>
      </c>
      <c r="O297">
        <f t="shared" si="30"/>
        <v>8</v>
      </c>
      <c r="P297">
        <f t="shared" si="31"/>
        <v>0</v>
      </c>
      <c r="Q297">
        <f t="shared" si="32"/>
        <v>246</v>
      </c>
      <c r="R297">
        <f t="shared" si="33"/>
        <v>2.46</v>
      </c>
      <c r="S297">
        <f t="shared" si="34"/>
        <v>243.54</v>
      </c>
      <c r="T297" t="s">
        <v>25</v>
      </c>
    </row>
    <row r="298" spans="1:20">
      <c r="A298" s="4">
        <v>4780923</v>
      </c>
      <c r="B298" s="5">
        <v>45513</v>
      </c>
      <c r="C298" s="4" t="s">
        <v>113</v>
      </c>
      <c r="D298" s="4" t="s">
        <v>58</v>
      </c>
      <c r="E298" s="4" t="s">
        <v>24</v>
      </c>
      <c r="F298" s="4">
        <v>8</v>
      </c>
      <c r="G298" s="4">
        <v>0</v>
      </c>
      <c r="H298" s="4">
        <v>2</v>
      </c>
      <c r="I298" s="4">
        <v>0</v>
      </c>
      <c r="J298">
        <v>17</v>
      </c>
      <c r="K298">
        <v>22</v>
      </c>
      <c r="L298">
        <v>8</v>
      </c>
      <c r="M298">
        <f t="shared" si="28"/>
        <v>136</v>
      </c>
      <c r="N298">
        <f t="shared" si="29"/>
        <v>0</v>
      </c>
      <c r="O298">
        <f t="shared" si="30"/>
        <v>16</v>
      </c>
      <c r="P298">
        <f t="shared" si="31"/>
        <v>0</v>
      </c>
      <c r="Q298">
        <f t="shared" si="32"/>
        <v>152</v>
      </c>
      <c r="R298">
        <f t="shared" si="33"/>
        <v>1.52</v>
      </c>
      <c r="S298">
        <f t="shared" si="34"/>
        <v>150.48</v>
      </c>
      <c r="T298" t="s">
        <v>25</v>
      </c>
    </row>
    <row r="299" spans="1:20">
      <c r="A299" s="4">
        <v>4780923</v>
      </c>
      <c r="B299" s="5">
        <v>45514</v>
      </c>
      <c r="C299" s="4" t="s">
        <v>113</v>
      </c>
      <c r="D299" s="4" t="s">
        <v>58</v>
      </c>
      <c r="E299" s="4" t="s">
        <v>24</v>
      </c>
      <c r="F299" s="4">
        <v>15</v>
      </c>
      <c r="G299" s="4">
        <v>0</v>
      </c>
      <c r="H299" s="4">
        <v>3</v>
      </c>
      <c r="I299" s="4">
        <v>0</v>
      </c>
      <c r="J299">
        <v>17</v>
      </c>
      <c r="K299">
        <v>22</v>
      </c>
      <c r="L299">
        <v>8</v>
      </c>
      <c r="M299">
        <f t="shared" si="28"/>
        <v>255</v>
      </c>
      <c r="N299">
        <f t="shared" si="29"/>
        <v>0</v>
      </c>
      <c r="O299">
        <f t="shared" si="30"/>
        <v>24</v>
      </c>
      <c r="P299">
        <f t="shared" si="31"/>
        <v>0</v>
      </c>
      <c r="Q299">
        <f t="shared" si="32"/>
        <v>279</v>
      </c>
      <c r="R299">
        <f t="shared" si="33"/>
        <v>2.79</v>
      </c>
      <c r="S299">
        <f t="shared" si="34"/>
        <v>276.21</v>
      </c>
      <c r="T299" t="s">
        <v>25</v>
      </c>
    </row>
    <row r="300" spans="1:20">
      <c r="A300" s="4">
        <v>4780923</v>
      </c>
      <c r="B300" s="5">
        <v>45515</v>
      </c>
      <c r="C300" s="4" t="s">
        <v>113</v>
      </c>
      <c r="D300" s="4" t="s">
        <v>58</v>
      </c>
      <c r="E300" s="4" t="s">
        <v>24</v>
      </c>
      <c r="F300" s="4">
        <v>20</v>
      </c>
      <c r="G300" s="4">
        <v>0</v>
      </c>
      <c r="H300" s="4">
        <v>0</v>
      </c>
      <c r="I300" s="4">
        <v>0</v>
      </c>
      <c r="J300">
        <v>17</v>
      </c>
      <c r="K300">
        <v>22</v>
      </c>
      <c r="L300">
        <v>8</v>
      </c>
      <c r="M300">
        <f t="shared" si="28"/>
        <v>340</v>
      </c>
      <c r="N300">
        <f t="shared" si="29"/>
        <v>0</v>
      </c>
      <c r="O300">
        <f t="shared" si="30"/>
        <v>0</v>
      </c>
      <c r="P300">
        <f t="shared" si="31"/>
        <v>0</v>
      </c>
      <c r="Q300">
        <f t="shared" si="32"/>
        <v>340</v>
      </c>
      <c r="R300">
        <f t="shared" si="33"/>
        <v>3.4</v>
      </c>
      <c r="S300">
        <f t="shared" si="34"/>
        <v>336.6</v>
      </c>
      <c r="T300" t="s">
        <v>25</v>
      </c>
    </row>
    <row r="301" spans="1:20">
      <c r="A301" s="4">
        <v>4872376</v>
      </c>
      <c r="B301" s="5">
        <v>45512</v>
      </c>
      <c r="C301" s="4" t="s">
        <v>114</v>
      </c>
      <c r="D301" s="4" t="s">
        <v>115</v>
      </c>
      <c r="E301" s="4" t="s">
        <v>24</v>
      </c>
      <c r="F301" s="4">
        <v>29</v>
      </c>
      <c r="G301" s="4">
        <v>0</v>
      </c>
      <c r="H301" s="4">
        <v>1</v>
      </c>
      <c r="I301" s="4">
        <v>0</v>
      </c>
      <c r="J301">
        <v>17</v>
      </c>
      <c r="K301">
        <v>22</v>
      </c>
      <c r="L301">
        <v>8</v>
      </c>
      <c r="M301">
        <f t="shared" si="28"/>
        <v>493</v>
      </c>
      <c r="N301">
        <f t="shared" si="29"/>
        <v>0</v>
      </c>
      <c r="O301">
        <f t="shared" si="30"/>
        <v>8</v>
      </c>
      <c r="P301">
        <f t="shared" si="31"/>
        <v>0</v>
      </c>
      <c r="Q301">
        <f t="shared" si="32"/>
        <v>501</v>
      </c>
      <c r="R301">
        <f t="shared" si="33"/>
        <v>5.01</v>
      </c>
      <c r="S301">
        <f t="shared" si="34"/>
        <v>495.99</v>
      </c>
      <c r="T301" t="s">
        <v>25</v>
      </c>
    </row>
    <row r="302" spans="1:20">
      <c r="A302" s="4">
        <v>4891192</v>
      </c>
      <c r="B302" s="5">
        <v>45509</v>
      </c>
      <c r="C302" s="4" t="s">
        <v>116</v>
      </c>
      <c r="D302" s="4" t="s">
        <v>117</v>
      </c>
      <c r="E302" s="4" t="s">
        <v>54</v>
      </c>
      <c r="F302" s="4">
        <v>0</v>
      </c>
      <c r="G302" s="4">
        <v>21</v>
      </c>
      <c r="H302" s="4">
        <v>5</v>
      </c>
      <c r="I302" s="4">
        <v>0</v>
      </c>
      <c r="J302">
        <v>17</v>
      </c>
      <c r="K302">
        <v>22</v>
      </c>
      <c r="L302">
        <v>8</v>
      </c>
      <c r="M302">
        <f t="shared" si="28"/>
        <v>0</v>
      </c>
      <c r="N302">
        <f t="shared" si="29"/>
        <v>462</v>
      </c>
      <c r="O302">
        <f t="shared" si="30"/>
        <v>40</v>
      </c>
      <c r="P302">
        <f t="shared" si="31"/>
        <v>0</v>
      </c>
      <c r="Q302">
        <f t="shared" si="32"/>
        <v>502</v>
      </c>
      <c r="R302">
        <f t="shared" si="33"/>
        <v>5.02</v>
      </c>
      <c r="S302">
        <f t="shared" si="34"/>
        <v>496.98</v>
      </c>
      <c r="T302" t="s">
        <v>25</v>
      </c>
    </row>
    <row r="303" spans="1:20">
      <c r="A303" s="4">
        <v>4891192</v>
      </c>
      <c r="B303" s="5">
        <v>45510</v>
      </c>
      <c r="C303" s="4" t="s">
        <v>116</v>
      </c>
      <c r="D303" s="4" t="s">
        <v>117</v>
      </c>
      <c r="E303" s="4" t="s">
        <v>54</v>
      </c>
      <c r="F303" s="4">
        <v>25</v>
      </c>
      <c r="G303" s="4">
        <v>23</v>
      </c>
      <c r="H303" s="4">
        <v>2</v>
      </c>
      <c r="I303" s="4">
        <v>0</v>
      </c>
      <c r="J303">
        <v>17</v>
      </c>
      <c r="K303">
        <v>22</v>
      </c>
      <c r="L303">
        <v>8</v>
      </c>
      <c r="M303">
        <f t="shared" si="28"/>
        <v>425</v>
      </c>
      <c r="N303">
        <f t="shared" si="29"/>
        <v>506</v>
      </c>
      <c r="O303">
        <f t="shared" si="30"/>
        <v>16</v>
      </c>
      <c r="P303">
        <f t="shared" si="31"/>
        <v>0</v>
      </c>
      <c r="Q303">
        <f t="shared" si="32"/>
        <v>947</v>
      </c>
      <c r="R303">
        <f t="shared" si="33"/>
        <v>9.47</v>
      </c>
      <c r="S303">
        <f t="shared" si="34"/>
        <v>937.53</v>
      </c>
      <c r="T303" t="s">
        <v>25</v>
      </c>
    </row>
    <row r="304" spans="1:20">
      <c r="A304" s="4">
        <v>4891192</v>
      </c>
      <c r="B304" s="5">
        <v>45511</v>
      </c>
      <c r="C304" s="4" t="s">
        <v>116</v>
      </c>
      <c r="D304" s="4" t="s">
        <v>117</v>
      </c>
      <c r="E304" s="4" t="s">
        <v>54</v>
      </c>
      <c r="F304" s="4">
        <v>1</v>
      </c>
      <c r="G304" s="4">
        <v>12</v>
      </c>
      <c r="H304" s="4">
        <v>0</v>
      </c>
      <c r="I304" s="4">
        <v>0</v>
      </c>
      <c r="J304">
        <v>17</v>
      </c>
      <c r="K304">
        <v>22</v>
      </c>
      <c r="L304">
        <v>8</v>
      </c>
      <c r="M304">
        <f t="shared" si="28"/>
        <v>17</v>
      </c>
      <c r="N304">
        <f t="shared" si="29"/>
        <v>264</v>
      </c>
      <c r="O304">
        <f t="shared" si="30"/>
        <v>0</v>
      </c>
      <c r="P304">
        <f t="shared" si="31"/>
        <v>0</v>
      </c>
      <c r="Q304">
        <f t="shared" si="32"/>
        <v>281</v>
      </c>
      <c r="R304">
        <f t="shared" si="33"/>
        <v>2.81</v>
      </c>
      <c r="S304">
        <f t="shared" si="34"/>
        <v>278.19</v>
      </c>
      <c r="T304" t="s">
        <v>25</v>
      </c>
    </row>
    <row r="305" spans="1:20">
      <c r="A305" s="4">
        <v>4891192</v>
      </c>
      <c r="B305" s="5">
        <v>45512</v>
      </c>
      <c r="C305" s="4" t="s">
        <v>116</v>
      </c>
      <c r="D305" s="4" t="s">
        <v>117</v>
      </c>
      <c r="E305" s="4" t="s">
        <v>54</v>
      </c>
      <c r="F305" s="4">
        <v>0</v>
      </c>
      <c r="G305" s="4">
        <v>15</v>
      </c>
      <c r="H305" s="4">
        <v>3</v>
      </c>
      <c r="I305" s="4">
        <v>0</v>
      </c>
      <c r="J305">
        <v>17</v>
      </c>
      <c r="K305">
        <v>22</v>
      </c>
      <c r="L305">
        <v>8</v>
      </c>
      <c r="M305">
        <f t="shared" si="28"/>
        <v>0</v>
      </c>
      <c r="N305">
        <f t="shared" si="29"/>
        <v>330</v>
      </c>
      <c r="O305">
        <f t="shared" si="30"/>
        <v>24</v>
      </c>
      <c r="P305">
        <f t="shared" si="31"/>
        <v>0</v>
      </c>
      <c r="Q305">
        <f t="shared" si="32"/>
        <v>354</v>
      </c>
      <c r="R305">
        <f t="shared" si="33"/>
        <v>3.54</v>
      </c>
      <c r="S305">
        <f t="shared" si="34"/>
        <v>350.46</v>
      </c>
      <c r="T305" t="s">
        <v>25</v>
      </c>
    </row>
    <row r="306" spans="1:20">
      <c r="A306" s="4">
        <v>4891192</v>
      </c>
      <c r="B306" s="5">
        <v>45513</v>
      </c>
      <c r="C306" s="4" t="s">
        <v>116</v>
      </c>
      <c r="D306" s="4" t="s">
        <v>117</v>
      </c>
      <c r="E306" s="4" t="s">
        <v>54</v>
      </c>
      <c r="F306" s="4">
        <v>0</v>
      </c>
      <c r="G306" s="4">
        <v>15</v>
      </c>
      <c r="H306" s="4">
        <v>1</v>
      </c>
      <c r="I306" s="4">
        <v>0</v>
      </c>
      <c r="J306">
        <v>17</v>
      </c>
      <c r="K306">
        <v>22</v>
      </c>
      <c r="L306">
        <v>8</v>
      </c>
      <c r="M306">
        <f t="shared" si="28"/>
        <v>0</v>
      </c>
      <c r="N306">
        <f t="shared" si="29"/>
        <v>330</v>
      </c>
      <c r="O306">
        <f t="shared" si="30"/>
        <v>8</v>
      </c>
      <c r="P306">
        <f t="shared" si="31"/>
        <v>0</v>
      </c>
      <c r="Q306">
        <f t="shared" si="32"/>
        <v>338</v>
      </c>
      <c r="R306">
        <f t="shared" si="33"/>
        <v>3.38</v>
      </c>
      <c r="S306">
        <f t="shared" si="34"/>
        <v>334.62</v>
      </c>
      <c r="T306" t="s">
        <v>25</v>
      </c>
    </row>
    <row r="307" spans="1:20">
      <c r="A307" s="4">
        <v>4891192</v>
      </c>
      <c r="B307" s="5">
        <v>45514</v>
      </c>
      <c r="C307" s="4" t="s">
        <v>116</v>
      </c>
      <c r="D307" s="4" t="s">
        <v>117</v>
      </c>
      <c r="E307" s="4" t="s">
        <v>54</v>
      </c>
      <c r="F307" s="4">
        <v>0</v>
      </c>
      <c r="G307" s="4">
        <v>19</v>
      </c>
      <c r="H307" s="4">
        <v>3</v>
      </c>
      <c r="I307" s="4">
        <v>0</v>
      </c>
      <c r="J307">
        <v>17</v>
      </c>
      <c r="K307">
        <v>22</v>
      </c>
      <c r="L307">
        <v>8</v>
      </c>
      <c r="M307">
        <f t="shared" si="28"/>
        <v>0</v>
      </c>
      <c r="N307">
        <f t="shared" si="29"/>
        <v>418</v>
      </c>
      <c r="O307">
        <f t="shared" si="30"/>
        <v>24</v>
      </c>
      <c r="P307">
        <f t="shared" si="31"/>
        <v>0</v>
      </c>
      <c r="Q307">
        <f t="shared" si="32"/>
        <v>442</v>
      </c>
      <c r="R307">
        <f t="shared" si="33"/>
        <v>4.42</v>
      </c>
      <c r="S307">
        <f t="shared" si="34"/>
        <v>437.58</v>
      </c>
      <c r="T307" t="s">
        <v>25</v>
      </c>
    </row>
    <row r="308" spans="1:20">
      <c r="A308" s="4">
        <v>4891192</v>
      </c>
      <c r="B308" s="5">
        <v>45515</v>
      </c>
      <c r="C308" s="4" t="s">
        <v>116</v>
      </c>
      <c r="D308" s="4" t="s">
        <v>117</v>
      </c>
      <c r="E308" s="4" t="s">
        <v>54</v>
      </c>
      <c r="F308" s="4">
        <v>0</v>
      </c>
      <c r="G308" s="4">
        <v>28</v>
      </c>
      <c r="H308" s="4">
        <v>3</v>
      </c>
      <c r="I308" s="4">
        <v>0</v>
      </c>
      <c r="J308">
        <v>17</v>
      </c>
      <c r="K308">
        <v>22</v>
      </c>
      <c r="L308">
        <v>8</v>
      </c>
      <c r="M308">
        <f t="shared" si="28"/>
        <v>0</v>
      </c>
      <c r="N308">
        <f t="shared" si="29"/>
        <v>616</v>
      </c>
      <c r="O308">
        <f t="shared" si="30"/>
        <v>24</v>
      </c>
      <c r="P308">
        <f t="shared" si="31"/>
        <v>0</v>
      </c>
      <c r="Q308">
        <f t="shared" si="32"/>
        <v>640</v>
      </c>
      <c r="R308">
        <f t="shared" si="33"/>
        <v>6.4</v>
      </c>
      <c r="S308">
        <f t="shared" si="34"/>
        <v>633.6</v>
      </c>
      <c r="T308" t="s">
        <v>25</v>
      </c>
    </row>
    <row r="309" spans="1:20">
      <c r="A309" s="4">
        <v>4902329</v>
      </c>
      <c r="B309" s="5">
        <v>45509</v>
      </c>
      <c r="C309" s="4" t="s">
        <v>118</v>
      </c>
      <c r="D309" s="4" t="s">
        <v>119</v>
      </c>
      <c r="E309" s="4" t="s">
        <v>54</v>
      </c>
      <c r="F309" s="4">
        <v>24</v>
      </c>
      <c r="G309" s="4">
        <v>13</v>
      </c>
      <c r="H309" s="4">
        <v>1</v>
      </c>
      <c r="I309" s="4">
        <v>0</v>
      </c>
      <c r="J309">
        <v>17</v>
      </c>
      <c r="K309">
        <v>22</v>
      </c>
      <c r="L309">
        <v>8</v>
      </c>
      <c r="M309">
        <f t="shared" si="28"/>
        <v>408</v>
      </c>
      <c r="N309">
        <f t="shared" si="29"/>
        <v>286</v>
      </c>
      <c r="O309">
        <f t="shared" si="30"/>
        <v>8</v>
      </c>
      <c r="P309">
        <f t="shared" si="31"/>
        <v>0</v>
      </c>
      <c r="Q309">
        <f t="shared" si="32"/>
        <v>702</v>
      </c>
      <c r="R309">
        <f t="shared" si="33"/>
        <v>7.02</v>
      </c>
      <c r="S309">
        <f t="shared" si="34"/>
        <v>694.98</v>
      </c>
      <c r="T309" t="s">
        <v>25</v>
      </c>
    </row>
    <row r="310" spans="1:20">
      <c r="A310" s="4">
        <v>4902329</v>
      </c>
      <c r="B310" s="5">
        <v>45510</v>
      </c>
      <c r="C310" s="4" t="s">
        <v>118</v>
      </c>
      <c r="D310" s="4" t="s">
        <v>119</v>
      </c>
      <c r="E310" s="4" t="s">
        <v>54</v>
      </c>
      <c r="F310" s="4">
        <v>34</v>
      </c>
      <c r="G310" s="4">
        <v>5</v>
      </c>
      <c r="H310" s="4">
        <v>3</v>
      </c>
      <c r="I310" s="4">
        <v>0</v>
      </c>
      <c r="J310">
        <v>17</v>
      </c>
      <c r="K310">
        <v>22</v>
      </c>
      <c r="L310">
        <v>8</v>
      </c>
      <c r="M310">
        <f t="shared" si="28"/>
        <v>578</v>
      </c>
      <c r="N310">
        <f t="shared" si="29"/>
        <v>110</v>
      </c>
      <c r="O310">
        <f t="shared" si="30"/>
        <v>24</v>
      </c>
      <c r="P310">
        <f t="shared" si="31"/>
        <v>0</v>
      </c>
      <c r="Q310">
        <f t="shared" si="32"/>
        <v>712</v>
      </c>
      <c r="R310">
        <f t="shared" si="33"/>
        <v>7.12</v>
      </c>
      <c r="S310">
        <f t="shared" si="34"/>
        <v>704.88</v>
      </c>
      <c r="T310" t="s">
        <v>25</v>
      </c>
    </row>
    <row r="311" spans="1:20">
      <c r="A311" s="4">
        <v>4902329</v>
      </c>
      <c r="B311" s="5">
        <v>45511</v>
      </c>
      <c r="C311" s="4" t="s">
        <v>118</v>
      </c>
      <c r="D311" s="4" t="s">
        <v>119</v>
      </c>
      <c r="E311" s="4" t="s">
        <v>54</v>
      </c>
      <c r="F311" s="4">
        <v>0</v>
      </c>
      <c r="G311" s="4">
        <v>0</v>
      </c>
      <c r="H311" s="4">
        <v>0</v>
      </c>
      <c r="I311" s="4">
        <v>0</v>
      </c>
      <c r="J311">
        <v>17</v>
      </c>
      <c r="K311">
        <v>22</v>
      </c>
      <c r="L311">
        <v>8</v>
      </c>
      <c r="M311">
        <f t="shared" si="28"/>
        <v>0</v>
      </c>
      <c r="N311">
        <f t="shared" si="29"/>
        <v>0</v>
      </c>
      <c r="O311">
        <f t="shared" si="30"/>
        <v>0</v>
      </c>
      <c r="P311">
        <f t="shared" si="31"/>
        <v>0</v>
      </c>
      <c r="Q311">
        <f t="shared" si="32"/>
        <v>0</v>
      </c>
      <c r="R311">
        <f t="shared" si="33"/>
        <v>0</v>
      </c>
      <c r="S311">
        <f t="shared" si="34"/>
        <v>0</v>
      </c>
      <c r="T311" t="s">
        <v>25</v>
      </c>
    </row>
    <row r="312" spans="1:20">
      <c r="A312" s="4">
        <v>4902329</v>
      </c>
      <c r="B312" s="5">
        <v>45512</v>
      </c>
      <c r="C312" s="4" t="s">
        <v>118</v>
      </c>
      <c r="D312" s="4" t="s">
        <v>119</v>
      </c>
      <c r="E312" s="4" t="s">
        <v>54</v>
      </c>
      <c r="F312" s="4">
        <v>32</v>
      </c>
      <c r="G312" s="4">
        <v>0</v>
      </c>
      <c r="H312" s="4">
        <v>12</v>
      </c>
      <c r="I312" s="4">
        <v>0</v>
      </c>
      <c r="J312">
        <v>17</v>
      </c>
      <c r="K312">
        <v>22</v>
      </c>
      <c r="L312">
        <v>8</v>
      </c>
      <c r="M312">
        <f t="shared" si="28"/>
        <v>544</v>
      </c>
      <c r="N312">
        <f t="shared" si="29"/>
        <v>0</v>
      </c>
      <c r="O312">
        <f t="shared" si="30"/>
        <v>96</v>
      </c>
      <c r="P312">
        <f t="shared" si="31"/>
        <v>0</v>
      </c>
      <c r="Q312">
        <f t="shared" si="32"/>
        <v>640</v>
      </c>
      <c r="R312">
        <f t="shared" si="33"/>
        <v>6.4</v>
      </c>
      <c r="S312">
        <f t="shared" si="34"/>
        <v>633.6</v>
      </c>
      <c r="T312" t="s">
        <v>25</v>
      </c>
    </row>
    <row r="313" spans="1:20">
      <c r="A313" s="4">
        <v>4902329</v>
      </c>
      <c r="B313" s="5">
        <v>45513</v>
      </c>
      <c r="C313" s="4" t="s">
        <v>118</v>
      </c>
      <c r="D313" s="4" t="s">
        <v>119</v>
      </c>
      <c r="E313" s="4" t="s">
        <v>54</v>
      </c>
      <c r="F313" s="4">
        <v>29</v>
      </c>
      <c r="G313" s="4">
        <v>11</v>
      </c>
      <c r="H313" s="4">
        <v>5</v>
      </c>
      <c r="I313" s="4">
        <v>0</v>
      </c>
      <c r="J313">
        <v>17</v>
      </c>
      <c r="K313">
        <v>22</v>
      </c>
      <c r="L313">
        <v>8</v>
      </c>
      <c r="M313">
        <f t="shared" si="28"/>
        <v>493</v>
      </c>
      <c r="N313">
        <f t="shared" si="29"/>
        <v>242</v>
      </c>
      <c r="O313">
        <f t="shared" si="30"/>
        <v>40</v>
      </c>
      <c r="P313">
        <f t="shared" si="31"/>
        <v>0</v>
      </c>
      <c r="Q313">
        <f t="shared" si="32"/>
        <v>775</v>
      </c>
      <c r="R313">
        <f t="shared" si="33"/>
        <v>7.75</v>
      </c>
      <c r="S313">
        <f t="shared" si="34"/>
        <v>767.25</v>
      </c>
      <c r="T313" t="s">
        <v>25</v>
      </c>
    </row>
    <row r="314" spans="1:20">
      <c r="A314" s="4">
        <v>4902329</v>
      </c>
      <c r="B314" s="5">
        <v>45514</v>
      </c>
      <c r="C314" s="4" t="s">
        <v>118</v>
      </c>
      <c r="D314" s="4" t="s">
        <v>119</v>
      </c>
      <c r="E314" s="4" t="s">
        <v>54</v>
      </c>
      <c r="F314" s="4">
        <v>15</v>
      </c>
      <c r="G314" s="4">
        <v>0</v>
      </c>
      <c r="H314" s="4">
        <v>5</v>
      </c>
      <c r="I314" s="4">
        <v>0</v>
      </c>
      <c r="J314">
        <v>17</v>
      </c>
      <c r="K314">
        <v>22</v>
      </c>
      <c r="L314">
        <v>8</v>
      </c>
      <c r="M314">
        <f t="shared" si="28"/>
        <v>255</v>
      </c>
      <c r="N314">
        <f t="shared" si="29"/>
        <v>0</v>
      </c>
      <c r="O314">
        <f t="shared" si="30"/>
        <v>40</v>
      </c>
      <c r="P314">
        <f t="shared" si="31"/>
        <v>0</v>
      </c>
      <c r="Q314">
        <f t="shared" si="32"/>
        <v>295</v>
      </c>
      <c r="R314">
        <f t="shared" si="33"/>
        <v>2.95</v>
      </c>
      <c r="S314">
        <f t="shared" si="34"/>
        <v>292.05</v>
      </c>
      <c r="T314" t="s">
        <v>25</v>
      </c>
    </row>
    <row r="315" spans="1:20">
      <c r="A315" s="4">
        <v>4902329</v>
      </c>
      <c r="B315" s="5">
        <v>45515</v>
      </c>
      <c r="C315" s="4" t="s">
        <v>118</v>
      </c>
      <c r="D315" s="4" t="s">
        <v>119</v>
      </c>
      <c r="E315" s="4" t="s">
        <v>54</v>
      </c>
      <c r="F315" s="4">
        <v>29</v>
      </c>
      <c r="G315" s="4">
        <v>0</v>
      </c>
      <c r="H315" s="4">
        <v>6</v>
      </c>
      <c r="I315" s="4">
        <v>0</v>
      </c>
      <c r="J315">
        <v>17</v>
      </c>
      <c r="K315">
        <v>22</v>
      </c>
      <c r="L315">
        <v>8</v>
      </c>
      <c r="M315">
        <f t="shared" si="28"/>
        <v>493</v>
      </c>
      <c r="N315">
        <f t="shared" si="29"/>
        <v>0</v>
      </c>
      <c r="O315">
        <f t="shared" si="30"/>
        <v>48</v>
      </c>
      <c r="P315">
        <f t="shared" si="31"/>
        <v>0</v>
      </c>
      <c r="Q315">
        <f t="shared" si="32"/>
        <v>541</v>
      </c>
      <c r="R315">
        <f t="shared" si="33"/>
        <v>5.41</v>
      </c>
      <c r="S315">
        <f t="shared" si="34"/>
        <v>535.59</v>
      </c>
      <c r="T315" t="s">
        <v>25</v>
      </c>
    </row>
    <row r="316" spans="1:20">
      <c r="A316" s="4">
        <v>4908494</v>
      </c>
      <c r="B316" s="5">
        <v>45509</v>
      </c>
      <c r="C316" s="4" t="s">
        <v>120</v>
      </c>
      <c r="D316" s="4" t="s">
        <v>27</v>
      </c>
      <c r="E316" s="4" t="s">
        <v>24</v>
      </c>
      <c r="F316" s="4">
        <v>21</v>
      </c>
      <c r="G316" s="4">
        <v>0</v>
      </c>
      <c r="H316" s="4">
        <v>6</v>
      </c>
      <c r="I316" s="4">
        <v>0</v>
      </c>
      <c r="J316">
        <v>17</v>
      </c>
      <c r="K316">
        <v>22</v>
      </c>
      <c r="L316">
        <v>8</v>
      </c>
      <c r="M316">
        <f t="shared" si="28"/>
        <v>357</v>
      </c>
      <c r="N316">
        <f t="shared" si="29"/>
        <v>0</v>
      </c>
      <c r="O316">
        <f t="shared" si="30"/>
        <v>48</v>
      </c>
      <c r="P316">
        <f t="shared" si="31"/>
        <v>0</v>
      </c>
      <c r="Q316">
        <f t="shared" si="32"/>
        <v>405</v>
      </c>
      <c r="R316">
        <f t="shared" si="33"/>
        <v>4.05</v>
      </c>
      <c r="S316">
        <f t="shared" si="34"/>
        <v>400.95</v>
      </c>
      <c r="T316" t="s">
        <v>25</v>
      </c>
    </row>
    <row r="317" spans="1:20">
      <c r="A317" s="4">
        <v>4908494</v>
      </c>
      <c r="B317" s="5">
        <v>45510</v>
      </c>
      <c r="C317" s="4" t="s">
        <v>120</v>
      </c>
      <c r="D317" s="4" t="s">
        <v>27</v>
      </c>
      <c r="E317" s="4" t="s">
        <v>24</v>
      </c>
      <c r="F317" s="4">
        <v>14</v>
      </c>
      <c r="G317" s="4">
        <v>0</v>
      </c>
      <c r="H317" s="4">
        <v>0</v>
      </c>
      <c r="I317" s="4">
        <v>0</v>
      </c>
      <c r="J317">
        <v>17</v>
      </c>
      <c r="K317">
        <v>22</v>
      </c>
      <c r="L317">
        <v>8</v>
      </c>
      <c r="M317">
        <f t="shared" si="28"/>
        <v>238</v>
      </c>
      <c r="N317">
        <f t="shared" si="29"/>
        <v>0</v>
      </c>
      <c r="O317">
        <f t="shared" si="30"/>
        <v>0</v>
      </c>
      <c r="P317">
        <f t="shared" si="31"/>
        <v>0</v>
      </c>
      <c r="Q317">
        <f t="shared" si="32"/>
        <v>238</v>
      </c>
      <c r="R317">
        <f t="shared" si="33"/>
        <v>2.38</v>
      </c>
      <c r="S317">
        <f t="shared" si="34"/>
        <v>235.62</v>
      </c>
      <c r="T317" t="s">
        <v>25</v>
      </c>
    </row>
    <row r="318" spans="1:20">
      <c r="A318" s="4">
        <v>4908494</v>
      </c>
      <c r="B318" s="5">
        <v>45512</v>
      </c>
      <c r="C318" s="4" t="s">
        <v>120</v>
      </c>
      <c r="D318" s="4" t="s">
        <v>27</v>
      </c>
      <c r="E318" s="4" t="s">
        <v>24</v>
      </c>
      <c r="F318" s="4">
        <v>14</v>
      </c>
      <c r="G318" s="4">
        <v>0</v>
      </c>
      <c r="H318" s="4">
        <v>0</v>
      </c>
      <c r="I318" s="4">
        <v>0</v>
      </c>
      <c r="J318">
        <v>17</v>
      </c>
      <c r="K318">
        <v>22</v>
      </c>
      <c r="L318">
        <v>8</v>
      </c>
      <c r="M318">
        <f t="shared" si="28"/>
        <v>238</v>
      </c>
      <c r="N318">
        <f t="shared" si="29"/>
        <v>0</v>
      </c>
      <c r="O318">
        <f t="shared" si="30"/>
        <v>0</v>
      </c>
      <c r="P318">
        <f t="shared" si="31"/>
        <v>0</v>
      </c>
      <c r="Q318">
        <f t="shared" si="32"/>
        <v>238</v>
      </c>
      <c r="R318">
        <f t="shared" si="33"/>
        <v>2.38</v>
      </c>
      <c r="S318">
        <f t="shared" si="34"/>
        <v>235.62</v>
      </c>
      <c r="T318" t="s">
        <v>25</v>
      </c>
    </row>
    <row r="319" spans="1:20">
      <c r="A319" s="4">
        <v>4908494</v>
      </c>
      <c r="B319" s="5">
        <v>45513</v>
      </c>
      <c r="C319" s="4" t="s">
        <v>120</v>
      </c>
      <c r="D319" s="4" t="s">
        <v>27</v>
      </c>
      <c r="E319" s="4" t="s">
        <v>24</v>
      </c>
      <c r="F319" s="4">
        <v>10</v>
      </c>
      <c r="G319" s="4">
        <v>0</v>
      </c>
      <c r="H319" s="4">
        <v>0</v>
      </c>
      <c r="I319" s="4">
        <v>0</v>
      </c>
      <c r="J319">
        <v>17</v>
      </c>
      <c r="K319">
        <v>22</v>
      </c>
      <c r="L319">
        <v>8</v>
      </c>
      <c r="M319">
        <f t="shared" si="28"/>
        <v>170</v>
      </c>
      <c r="N319">
        <f t="shared" si="29"/>
        <v>0</v>
      </c>
      <c r="O319">
        <f t="shared" si="30"/>
        <v>0</v>
      </c>
      <c r="P319">
        <f t="shared" si="31"/>
        <v>0</v>
      </c>
      <c r="Q319">
        <f t="shared" si="32"/>
        <v>170</v>
      </c>
      <c r="R319">
        <f t="shared" si="33"/>
        <v>1.7</v>
      </c>
      <c r="S319">
        <f t="shared" si="34"/>
        <v>168.3</v>
      </c>
      <c r="T319" t="s">
        <v>25</v>
      </c>
    </row>
    <row r="320" spans="1:20">
      <c r="A320" s="4">
        <v>4908494</v>
      </c>
      <c r="B320" s="5">
        <v>45514</v>
      </c>
      <c r="C320" s="4" t="s">
        <v>120</v>
      </c>
      <c r="D320" s="4" t="s">
        <v>27</v>
      </c>
      <c r="E320" s="4" t="s">
        <v>24</v>
      </c>
      <c r="F320" s="4">
        <v>14</v>
      </c>
      <c r="G320" s="4">
        <v>0</v>
      </c>
      <c r="H320" s="4">
        <v>2</v>
      </c>
      <c r="I320" s="4">
        <v>0</v>
      </c>
      <c r="J320">
        <v>17</v>
      </c>
      <c r="K320">
        <v>22</v>
      </c>
      <c r="L320">
        <v>8</v>
      </c>
      <c r="M320">
        <f t="shared" si="28"/>
        <v>238</v>
      </c>
      <c r="N320">
        <f t="shared" si="29"/>
        <v>0</v>
      </c>
      <c r="O320">
        <f t="shared" si="30"/>
        <v>16</v>
      </c>
      <c r="P320">
        <f t="shared" si="31"/>
        <v>0</v>
      </c>
      <c r="Q320">
        <f t="shared" si="32"/>
        <v>254</v>
      </c>
      <c r="R320">
        <f t="shared" si="33"/>
        <v>2.54</v>
      </c>
      <c r="S320">
        <f t="shared" si="34"/>
        <v>251.46</v>
      </c>
      <c r="T320" t="s">
        <v>25</v>
      </c>
    </row>
    <row r="321" spans="1:20">
      <c r="A321" s="4">
        <v>4908494</v>
      </c>
      <c r="B321" s="5">
        <v>45515</v>
      </c>
      <c r="C321" s="4" t="s">
        <v>120</v>
      </c>
      <c r="D321" s="4" t="s">
        <v>27</v>
      </c>
      <c r="E321" s="4" t="s">
        <v>24</v>
      </c>
      <c r="F321" s="4">
        <v>12</v>
      </c>
      <c r="G321" s="4">
        <v>0</v>
      </c>
      <c r="H321" s="4">
        <v>0</v>
      </c>
      <c r="I321" s="4">
        <v>0</v>
      </c>
      <c r="J321">
        <v>17</v>
      </c>
      <c r="K321">
        <v>22</v>
      </c>
      <c r="L321">
        <v>8</v>
      </c>
      <c r="M321">
        <f t="shared" si="28"/>
        <v>204</v>
      </c>
      <c r="N321">
        <f t="shared" si="29"/>
        <v>0</v>
      </c>
      <c r="O321">
        <f t="shared" si="30"/>
        <v>0</v>
      </c>
      <c r="P321">
        <f t="shared" si="31"/>
        <v>0</v>
      </c>
      <c r="Q321">
        <f t="shared" si="32"/>
        <v>204</v>
      </c>
      <c r="R321">
        <f t="shared" si="33"/>
        <v>2.04</v>
      </c>
      <c r="S321">
        <f t="shared" si="34"/>
        <v>201.96</v>
      </c>
      <c r="T321" t="s">
        <v>25</v>
      </c>
    </row>
    <row r="322" spans="1:20">
      <c r="A322" s="4">
        <v>4909378</v>
      </c>
      <c r="B322" s="5">
        <v>45510</v>
      </c>
      <c r="C322" s="4" t="s">
        <v>121</v>
      </c>
      <c r="D322" s="4" t="s">
        <v>65</v>
      </c>
      <c r="E322" s="4" t="s">
        <v>24</v>
      </c>
      <c r="F322" s="4">
        <v>21</v>
      </c>
      <c r="G322" s="4">
        <v>10</v>
      </c>
      <c r="H322" s="4">
        <v>2</v>
      </c>
      <c r="I322" s="4">
        <v>0</v>
      </c>
      <c r="J322">
        <v>17</v>
      </c>
      <c r="K322">
        <v>22</v>
      </c>
      <c r="L322">
        <v>8</v>
      </c>
      <c r="M322">
        <f t="shared" si="28"/>
        <v>357</v>
      </c>
      <c r="N322">
        <f t="shared" si="29"/>
        <v>220</v>
      </c>
      <c r="O322">
        <f t="shared" si="30"/>
        <v>16</v>
      </c>
      <c r="P322">
        <f t="shared" si="31"/>
        <v>0</v>
      </c>
      <c r="Q322">
        <f t="shared" si="32"/>
        <v>593</v>
      </c>
      <c r="R322">
        <f t="shared" si="33"/>
        <v>5.93</v>
      </c>
      <c r="S322">
        <f t="shared" si="34"/>
        <v>587.07</v>
      </c>
      <c r="T322" t="s">
        <v>25</v>
      </c>
    </row>
    <row r="323" spans="1:20">
      <c r="A323" s="4">
        <v>4909378</v>
      </c>
      <c r="B323" s="5">
        <v>45511</v>
      </c>
      <c r="C323" s="4" t="s">
        <v>121</v>
      </c>
      <c r="D323" s="4" t="s">
        <v>65</v>
      </c>
      <c r="E323" s="4" t="s">
        <v>24</v>
      </c>
      <c r="F323" s="4">
        <v>11</v>
      </c>
      <c r="G323" s="4">
        <v>1</v>
      </c>
      <c r="H323" s="4">
        <v>0</v>
      </c>
      <c r="I323" s="4">
        <v>0</v>
      </c>
      <c r="J323">
        <v>17</v>
      </c>
      <c r="K323">
        <v>22</v>
      </c>
      <c r="L323">
        <v>8</v>
      </c>
      <c r="M323">
        <f t="shared" si="28"/>
        <v>187</v>
      </c>
      <c r="N323">
        <f t="shared" si="29"/>
        <v>22</v>
      </c>
      <c r="O323">
        <f t="shared" si="30"/>
        <v>0</v>
      </c>
      <c r="P323">
        <f t="shared" si="31"/>
        <v>0</v>
      </c>
      <c r="Q323">
        <f t="shared" si="32"/>
        <v>209</v>
      </c>
      <c r="R323">
        <f t="shared" si="33"/>
        <v>2.09</v>
      </c>
      <c r="S323">
        <f t="shared" si="34"/>
        <v>206.91</v>
      </c>
      <c r="T323" t="s">
        <v>25</v>
      </c>
    </row>
    <row r="324" spans="1:20">
      <c r="A324" s="4">
        <v>4909378</v>
      </c>
      <c r="B324" s="5">
        <v>45512</v>
      </c>
      <c r="C324" s="4" t="s">
        <v>121</v>
      </c>
      <c r="D324" s="4" t="s">
        <v>65</v>
      </c>
      <c r="E324" s="4" t="s">
        <v>24</v>
      </c>
      <c r="F324" s="4">
        <v>12</v>
      </c>
      <c r="G324" s="4">
        <v>0</v>
      </c>
      <c r="H324" s="4">
        <v>0</v>
      </c>
      <c r="I324" s="4">
        <v>0</v>
      </c>
      <c r="J324">
        <v>17</v>
      </c>
      <c r="K324">
        <v>22</v>
      </c>
      <c r="L324">
        <v>8</v>
      </c>
      <c r="M324">
        <f t="shared" ref="M324:M379" si="35">F324*J324</f>
        <v>204</v>
      </c>
      <c r="N324">
        <f t="shared" ref="N324:N379" si="36">G324*K324</f>
        <v>0</v>
      </c>
      <c r="O324">
        <f t="shared" ref="O324:O379" si="37">H324*L324</f>
        <v>0</v>
      </c>
      <c r="P324">
        <f t="shared" ref="P324:P379" si="38">I324*2.5</f>
        <v>0</v>
      </c>
      <c r="Q324">
        <f t="shared" ref="Q324:Q379" si="39">M324+N324+O324+P324</f>
        <v>204</v>
      </c>
      <c r="R324">
        <f t="shared" ref="R324:R379" si="40">Q324*1%</f>
        <v>2.04</v>
      </c>
      <c r="S324">
        <f t="shared" ref="S324:S379" si="41">Q324-R324</f>
        <v>201.96</v>
      </c>
      <c r="T324" t="s">
        <v>25</v>
      </c>
    </row>
    <row r="325" spans="1:20">
      <c r="A325" s="4">
        <v>4909378</v>
      </c>
      <c r="B325" s="5">
        <v>45513</v>
      </c>
      <c r="C325" s="4" t="s">
        <v>121</v>
      </c>
      <c r="D325" s="4" t="s">
        <v>65</v>
      </c>
      <c r="E325" s="4" t="s">
        <v>24</v>
      </c>
      <c r="F325" s="4">
        <v>14</v>
      </c>
      <c r="G325" s="4">
        <v>0</v>
      </c>
      <c r="H325" s="4">
        <v>2</v>
      </c>
      <c r="I325" s="4">
        <v>0</v>
      </c>
      <c r="J325">
        <v>17</v>
      </c>
      <c r="K325">
        <v>22</v>
      </c>
      <c r="L325">
        <v>8</v>
      </c>
      <c r="M325">
        <f t="shared" si="35"/>
        <v>238</v>
      </c>
      <c r="N325">
        <f t="shared" si="36"/>
        <v>0</v>
      </c>
      <c r="O325">
        <f t="shared" si="37"/>
        <v>16</v>
      </c>
      <c r="P325">
        <f t="shared" si="38"/>
        <v>0</v>
      </c>
      <c r="Q325">
        <f t="shared" si="39"/>
        <v>254</v>
      </c>
      <c r="R325">
        <f t="shared" si="40"/>
        <v>2.54</v>
      </c>
      <c r="S325">
        <f t="shared" si="41"/>
        <v>251.46</v>
      </c>
      <c r="T325" t="s">
        <v>25</v>
      </c>
    </row>
    <row r="326" spans="1:20">
      <c r="A326" s="4">
        <v>4909378</v>
      </c>
      <c r="B326" s="5">
        <v>45514</v>
      </c>
      <c r="C326" s="4" t="s">
        <v>121</v>
      </c>
      <c r="D326" s="4" t="s">
        <v>65</v>
      </c>
      <c r="E326" s="4" t="s">
        <v>24</v>
      </c>
      <c r="F326" s="4">
        <v>18</v>
      </c>
      <c r="G326" s="4">
        <v>0</v>
      </c>
      <c r="H326" s="4">
        <v>3</v>
      </c>
      <c r="I326" s="4">
        <v>0</v>
      </c>
      <c r="J326">
        <v>17</v>
      </c>
      <c r="K326">
        <v>22</v>
      </c>
      <c r="L326">
        <v>8</v>
      </c>
      <c r="M326">
        <f t="shared" si="35"/>
        <v>306</v>
      </c>
      <c r="N326">
        <f t="shared" si="36"/>
        <v>0</v>
      </c>
      <c r="O326">
        <f t="shared" si="37"/>
        <v>24</v>
      </c>
      <c r="P326">
        <f t="shared" si="38"/>
        <v>0</v>
      </c>
      <c r="Q326">
        <f t="shared" si="39"/>
        <v>330</v>
      </c>
      <c r="R326">
        <f t="shared" si="40"/>
        <v>3.3</v>
      </c>
      <c r="S326">
        <f t="shared" si="41"/>
        <v>326.7</v>
      </c>
      <c r="T326" t="s">
        <v>25</v>
      </c>
    </row>
    <row r="327" spans="1:20">
      <c r="A327" s="4">
        <v>4926793</v>
      </c>
      <c r="B327" s="5">
        <v>45509</v>
      </c>
      <c r="C327" s="4" t="s">
        <v>122</v>
      </c>
      <c r="D327" s="4" t="s">
        <v>44</v>
      </c>
      <c r="E327" s="4" t="s">
        <v>24</v>
      </c>
      <c r="F327" s="4">
        <v>13</v>
      </c>
      <c r="G327" s="4">
        <v>0</v>
      </c>
      <c r="H327" s="4">
        <v>1</v>
      </c>
      <c r="I327" s="4">
        <v>0</v>
      </c>
      <c r="J327">
        <v>17</v>
      </c>
      <c r="K327">
        <v>22</v>
      </c>
      <c r="L327">
        <v>8</v>
      </c>
      <c r="M327">
        <f t="shared" si="35"/>
        <v>221</v>
      </c>
      <c r="N327">
        <f t="shared" si="36"/>
        <v>0</v>
      </c>
      <c r="O327">
        <f t="shared" si="37"/>
        <v>8</v>
      </c>
      <c r="P327">
        <f t="shared" si="38"/>
        <v>0</v>
      </c>
      <c r="Q327">
        <f t="shared" si="39"/>
        <v>229</v>
      </c>
      <c r="R327">
        <f t="shared" si="40"/>
        <v>2.29</v>
      </c>
      <c r="S327">
        <f t="shared" si="41"/>
        <v>226.71</v>
      </c>
      <c r="T327" t="s">
        <v>25</v>
      </c>
    </row>
    <row r="328" spans="1:20">
      <c r="A328" s="4">
        <v>4926793</v>
      </c>
      <c r="B328" s="5">
        <v>45510</v>
      </c>
      <c r="C328" s="4" t="s">
        <v>122</v>
      </c>
      <c r="D328" s="4" t="s">
        <v>44</v>
      </c>
      <c r="E328" s="4" t="s">
        <v>24</v>
      </c>
      <c r="F328" s="4">
        <v>16</v>
      </c>
      <c r="G328" s="4">
        <v>0</v>
      </c>
      <c r="H328" s="4">
        <v>0</v>
      </c>
      <c r="I328" s="4">
        <v>0</v>
      </c>
      <c r="J328">
        <v>17</v>
      </c>
      <c r="K328">
        <v>22</v>
      </c>
      <c r="L328">
        <v>8</v>
      </c>
      <c r="M328">
        <f t="shared" si="35"/>
        <v>272</v>
      </c>
      <c r="N328">
        <f t="shared" si="36"/>
        <v>0</v>
      </c>
      <c r="O328">
        <f t="shared" si="37"/>
        <v>0</v>
      </c>
      <c r="P328">
        <f t="shared" si="38"/>
        <v>0</v>
      </c>
      <c r="Q328">
        <f t="shared" si="39"/>
        <v>272</v>
      </c>
      <c r="R328">
        <f t="shared" si="40"/>
        <v>2.72</v>
      </c>
      <c r="S328">
        <f t="shared" si="41"/>
        <v>269.28</v>
      </c>
      <c r="T328" t="s">
        <v>25</v>
      </c>
    </row>
    <row r="329" spans="1:20">
      <c r="A329" s="4">
        <v>4926793</v>
      </c>
      <c r="B329" s="5">
        <v>45511</v>
      </c>
      <c r="C329" s="4" t="s">
        <v>122</v>
      </c>
      <c r="D329" s="4" t="s">
        <v>44</v>
      </c>
      <c r="E329" s="4" t="s">
        <v>24</v>
      </c>
      <c r="F329" s="4">
        <v>17</v>
      </c>
      <c r="G329" s="4">
        <v>0</v>
      </c>
      <c r="H329" s="4">
        <v>2</v>
      </c>
      <c r="I329" s="4">
        <v>0</v>
      </c>
      <c r="J329">
        <v>17</v>
      </c>
      <c r="K329">
        <v>22</v>
      </c>
      <c r="L329">
        <v>8</v>
      </c>
      <c r="M329">
        <f t="shared" si="35"/>
        <v>289</v>
      </c>
      <c r="N329">
        <f t="shared" si="36"/>
        <v>0</v>
      </c>
      <c r="O329">
        <f t="shared" si="37"/>
        <v>16</v>
      </c>
      <c r="P329">
        <f t="shared" si="38"/>
        <v>0</v>
      </c>
      <c r="Q329">
        <f t="shared" si="39"/>
        <v>305</v>
      </c>
      <c r="R329">
        <f t="shared" si="40"/>
        <v>3.05</v>
      </c>
      <c r="S329">
        <f t="shared" si="41"/>
        <v>301.95</v>
      </c>
      <c r="T329" t="s">
        <v>25</v>
      </c>
    </row>
    <row r="330" spans="1:20">
      <c r="A330" s="4">
        <v>4926793</v>
      </c>
      <c r="B330" s="5">
        <v>45512</v>
      </c>
      <c r="C330" s="4" t="s">
        <v>122</v>
      </c>
      <c r="D330" s="4" t="s">
        <v>44</v>
      </c>
      <c r="E330" s="4" t="s">
        <v>24</v>
      </c>
      <c r="F330" s="4">
        <v>25</v>
      </c>
      <c r="G330" s="4">
        <v>0</v>
      </c>
      <c r="H330" s="4">
        <v>1</v>
      </c>
      <c r="I330" s="4">
        <v>0</v>
      </c>
      <c r="J330">
        <v>17</v>
      </c>
      <c r="K330">
        <v>22</v>
      </c>
      <c r="L330">
        <v>8</v>
      </c>
      <c r="M330">
        <f t="shared" si="35"/>
        <v>425</v>
      </c>
      <c r="N330">
        <f t="shared" si="36"/>
        <v>0</v>
      </c>
      <c r="O330">
        <f t="shared" si="37"/>
        <v>8</v>
      </c>
      <c r="P330">
        <f t="shared" si="38"/>
        <v>0</v>
      </c>
      <c r="Q330">
        <f t="shared" si="39"/>
        <v>433</v>
      </c>
      <c r="R330">
        <f t="shared" si="40"/>
        <v>4.33</v>
      </c>
      <c r="S330">
        <f t="shared" si="41"/>
        <v>428.67</v>
      </c>
      <c r="T330" t="s">
        <v>25</v>
      </c>
    </row>
    <row r="331" spans="1:20">
      <c r="A331" s="4">
        <v>4926793</v>
      </c>
      <c r="B331" s="5">
        <v>45513</v>
      </c>
      <c r="C331" s="4" t="s">
        <v>122</v>
      </c>
      <c r="D331" s="4" t="s">
        <v>44</v>
      </c>
      <c r="E331" s="4" t="s">
        <v>24</v>
      </c>
      <c r="F331" s="4">
        <v>27</v>
      </c>
      <c r="G331" s="4">
        <v>0</v>
      </c>
      <c r="H331" s="4">
        <v>1</v>
      </c>
      <c r="I331" s="4">
        <v>0</v>
      </c>
      <c r="J331">
        <v>17</v>
      </c>
      <c r="K331">
        <v>22</v>
      </c>
      <c r="L331">
        <v>8</v>
      </c>
      <c r="M331">
        <f t="shared" si="35"/>
        <v>459</v>
      </c>
      <c r="N331">
        <f t="shared" si="36"/>
        <v>0</v>
      </c>
      <c r="O331">
        <f t="shared" si="37"/>
        <v>8</v>
      </c>
      <c r="P331">
        <f t="shared" si="38"/>
        <v>0</v>
      </c>
      <c r="Q331">
        <f t="shared" si="39"/>
        <v>467</v>
      </c>
      <c r="R331">
        <f t="shared" si="40"/>
        <v>4.67</v>
      </c>
      <c r="S331">
        <f t="shared" si="41"/>
        <v>462.33</v>
      </c>
      <c r="T331" t="s">
        <v>25</v>
      </c>
    </row>
    <row r="332" spans="1:20">
      <c r="A332" s="4">
        <v>4952152</v>
      </c>
      <c r="B332" s="5">
        <v>45509</v>
      </c>
      <c r="C332" s="4" t="s">
        <v>123</v>
      </c>
      <c r="D332" s="4" t="s">
        <v>117</v>
      </c>
      <c r="E332" s="4" t="s">
        <v>54</v>
      </c>
      <c r="F332" s="4">
        <v>0</v>
      </c>
      <c r="G332" s="4">
        <v>5</v>
      </c>
      <c r="H332" s="4">
        <v>0</v>
      </c>
      <c r="I332" s="4">
        <v>0</v>
      </c>
      <c r="J332">
        <v>17</v>
      </c>
      <c r="K332">
        <v>22</v>
      </c>
      <c r="L332">
        <v>8</v>
      </c>
      <c r="M332">
        <f t="shared" si="35"/>
        <v>0</v>
      </c>
      <c r="N332">
        <f t="shared" si="36"/>
        <v>110</v>
      </c>
      <c r="O332">
        <f t="shared" si="37"/>
        <v>0</v>
      </c>
      <c r="P332">
        <f t="shared" si="38"/>
        <v>0</v>
      </c>
      <c r="Q332">
        <f t="shared" si="39"/>
        <v>110</v>
      </c>
      <c r="R332">
        <f t="shared" si="40"/>
        <v>1.1</v>
      </c>
      <c r="S332">
        <f t="shared" si="41"/>
        <v>108.9</v>
      </c>
      <c r="T332" t="s">
        <v>25</v>
      </c>
    </row>
    <row r="333" spans="1:20">
      <c r="A333" s="4">
        <v>4952152</v>
      </c>
      <c r="B333" s="5">
        <v>45510</v>
      </c>
      <c r="C333" s="4" t="s">
        <v>123</v>
      </c>
      <c r="D333" s="4" t="s">
        <v>117</v>
      </c>
      <c r="E333" s="4" t="s">
        <v>54</v>
      </c>
      <c r="F333" s="4">
        <v>17</v>
      </c>
      <c r="G333" s="4">
        <v>0</v>
      </c>
      <c r="H333" s="4">
        <v>3</v>
      </c>
      <c r="I333" s="4">
        <v>0</v>
      </c>
      <c r="J333">
        <v>17</v>
      </c>
      <c r="K333">
        <v>22</v>
      </c>
      <c r="L333">
        <v>8</v>
      </c>
      <c r="M333">
        <f t="shared" si="35"/>
        <v>289</v>
      </c>
      <c r="N333">
        <f t="shared" si="36"/>
        <v>0</v>
      </c>
      <c r="O333">
        <f t="shared" si="37"/>
        <v>24</v>
      </c>
      <c r="P333">
        <f t="shared" si="38"/>
        <v>0</v>
      </c>
      <c r="Q333">
        <f t="shared" si="39"/>
        <v>313</v>
      </c>
      <c r="R333">
        <f t="shared" si="40"/>
        <v>3.13</v>
      </c>
      <c r="S333">
        <f t="shared" si="41"/>
        <v>309.87</v>
      </c>
      <c r="T333" t="s">
        <v>25</v>
      </c>
    </row>
    <row r="334" spans="1:20">
      <c r="A334" s="4">
        <v>4952152</v>
      </c>
      <c r="B334" s="5">
        <v>45511</v>
      </c>
      <c r="C334" s="4" t="s">
        <v>123</v>
      </c>
      <c r="D334" s="4" t="s">
        <v>117</v>
      </c>
      <c r="E334" s="4" t="s">
        <v>54</v>
      </c>
      <c r="F334" s="4">
        <v>25</v>
      </c>
      <c r="G334" s="4">
        <v>0</v>
      </c>
      <c r="H334" s="4">
        <v>1</v>
      </c>
      <c r="I334" s="4">
        <v>0</v>
      </c>
      <c r="J334">
        <v>17</v>
      </c>
      <c r="K334">
        <v>22</v>
      </c>
      <c r="L334">
        <v>8</v>
      </c>
      <c r="M334">
        <f t="shared" si="35"/>
        <v>425</v>
      </c>
      <c r="N334">
        <f t="shared" si="36"/>
        <v>0</v>
      </c>
      <c r="O334">
        <f t="shared" si="37"/>
        <v>8</v>
      </c>
      <c r="P334">
        <f t="shared" si="38"/>
        <v>0</v>
      </c>
      <c r="Q334">
        <f t="shared" si="39"/>
        <v>433</v>
      </c>
      <c r="R334">
        <f t="shared" si="40"/>
        <v>4.33</v>
      </c>
      <c r="S334">
        <f t="shared" si="41"/>
        <v>428.67</v>
      </c>
      <c r="T334" t="s">
        <v>25</v>
      </c>
    </row>
    <row r="335" spans="1:20">
      <c r="A335" s="4">
        <v>4952152</v>
      </c>
      <c r="B335" s="5">
        <v>45512</v>
      </c>
      <c r="C335" s="4" t="s">
        <v>123</v>
      </c>
      <c r="D335" s="4" t="s">
        <v>117</v>
      </c>
      <c r="E335" s="4" t="s">
        <v>54</v>
      </c>
      <c r="F335" s="4">
        <v>22</v>
      </c>
      <c r="G335" s="4">
        <v>0</v>
      </c>
      <c r="H335" s="4">
        <v>1</v>
      </c>
      <c r="I335" s="4">
        <v>0</v>
      </c>
      <c r="J335">
        <v>17</v>
      </c>
      <c r="K335">
        <v>22</v>
      </c>
      <c r="L335">
        <v>8</v>
      </c>
      <c r="M335">
        <f t="shared" si="35"/>
        <v>374</v>
      </c>
      <c r="N335">
        <f t="shared" si="36"/>
        <v>0</v>
      </c>
      <c r="O335">
        <f t="shared" si="37"/>
        <v>8</v>
      </c>
      <c r="P335">
        <f t="shared" si="38"/>
        <v>0</v>
      </c>
      <c r="Q335">
        <f t="shared" si="39"/>
        <v>382</v>
      </c>
      <c r="R335">
        <f t="shared" si="40"/>
        <v>3.82</v>
      </c>
      <c r="S335">
        <f t="shared" si="41"/>
        <v>378.18</v>
      </c>
      <c r="T335" t="s">
        <v>25</v>
      </c>
    </row>
    <row r="336" spans="1:20">
      <c r="A336" s="4">
        <v>4952152</v>
      </c>
      <c r="B336" s="5">
        <v>45513</v>
      </c>
      <c r="C336" s="4" t="s">
        <v>123</v>
      </c>
      <c r="D336" s="4" t="s">
        <v>117</v>
      </c>
      <c r="E336" s="4" t="s">
        <v>54</v>
      </c>
      <c r="F336" s="4">
        <v>20</v>
      </c>
      <c r="G336" s="4">
        <v>5</v>
      </c>
      <c r="H336" s="4">
        <v>1</v>
      </c>
      <c r="I336" s="4">
        <v>0</v>
      </c>
      <c r="J336">
        <v>17</v>
      </c>
      <c r="K336">
        <v>22</v>
      </c>
      <c r="L336">
        <v>8</v>
      </c>
      <c r="M336">
        <f t="shared" si="35"/>
        <v>340</v>
      </c>
      <c r="N336">
        <f t="shared" si="36"/>
        <v>110</v>
      </c>
      <c r="O336">
        <f t="shared" si="37"/>
        <v>8</v>
      </c>
      <c r="P336">
        <f t="shared" si="38"/>
        <v>0</v>
      </c>
      <c r="Q336">
        <f t="shared" si="39"/>
        <v>458</v>
      </c>
      <c r="R336">
        <f t="shared" si="40"/>
        <v>4.58</v>
      </c>
      <c r="S336">
        <f t="shared" si="41"/>
        <v>453.42</v>
      </c>
      <c r="T336" t="s">
        <v>25</v>
      </c>
    </row>
    <row r="337" spans="1:20">
      <c r="A337" s="4">
        <v>4952152</v>
      </c>
      <c r="B337" s="5">
        <v>45514</v>
      </c>
      <c r="C337" s="4" t="s">
        <v>123</v>
      </c>
      <c r="D337" s="4" t="s">
        <v>117</v>
      </c>
      <c r="E337" s="4" t="s">
        <v>54</v>
      </c>
      <c r="F337" s="4">
        <v>24</v>
      </c>
      <c r="G337" s="4">
        <v>8</v>
      </c>
      <c r="H337" s="4">
        <v>1</v>
      </c>
      <c r="I337" s="4">
        <v>0</v>
      </c>
      <c r="J337">
        <v>17</v>
      </c>
      <c r="K337">
        <v>22</v>
      </c>
      <c r="L337">
        <v>8</v>
      </c>
      <c r="M337">
        <f t="shared" si="35"/>
        <v>408</v>
      </c>
      <c r="N337">
        <f t="shared" si="36"/>
        <v>176</v>
      </c>
      <c r="O337">
        <f t="shared" si="37"/>
        <v>8</v>
      </c>
      <c r="P337">
        <f t="shared" si="38"/>
        <v>0</v>
      </c>
      <c r="Q337">
        <f t="shared" si="39"/>
        <v>592</v>
      </c>
      <c r="R337">
        <f t="shared" si="40"/>
        <v>5.92</v>
      </c>
      <c r="S337">
        <f t="shared" si="41"/>
        <v>586.08</v>
      </c>
      <c r="T337" t="s">
        <v>25</v>
      </c>
    </row>
    <row r="338" spans="1:20">
      <c r="A338" s="4">
        <v>4952152</v>
      </c>
      <c r="B338" s="5">
        <v>45515</v>
      </c>
      <c r="C338" s="4" t="s">
        <v>123</v>
      </c>
      <c r="D338" s="4" t="s">
        <v>117</v>
      </c>
      <c r="E338" s="4" t="s">
        <v>54</v>
      </c>
      <c r="F338" s="4">
        <v>27</v>
      </c>
      <c r="G338" s="4">
        <v>0</v>
      </c>
      <c r="H338" s="4">
        <v>0</v>
      </c>
      <c r="I338" s="4">
        <v>0</v>
      </c>
      <c r="J338">
        <v>17</v>
      </c>
      <c r="K338">
        <v>22</v>
      </c>
      <c r="L338">
        <v>8</v>
      </c>
      <c r="M338">
        <f t="shared" si="35"/>
        <v>459</v>
      </c>
      <c r="N338">
        <f t="shared" si="36"/>
        <v>0</v>
      </c>
      <c r="O338">
        <f t="shared" si="37"/>
        <v>0</v>
      </c>
      <c r="P338">
        <f t="shared" si="38"/>
        <v>0</v>
      </c>
      <c r="Q338">
        <f t="shared" si="39"/>
        <v>459</v>
      </c>
      <c r="R338">
        <f t="shared" si="40"/>
        <v>4.59</v>
      </c>
      <c r="S338">
        <f t="shared" si="41"/>
        <v>454.41</v>
      </c>
      <c r="T338" t="s">
        <v>25</v>
      </c>
    </row>
    <row r="339" spans="1:20">
      <c r="A339" s="4">
        <v>5025433</v>
      </c>
      <c r="B339" s="5">
        <v>45509</v>
      </c>
      <c r="C339" s="4" t="s">
        <v>124</v>
      </c>
      <c r="D339" s="4" t="s">
        <v>125</v>
      </c>
      <c r="E339" s="4" t="s">
        <v>24</v>
      </c>
      <c r="F339" s="4">
        <v>25</v>
      </c>
      <c r="G339" s="4">
        <v>0</v>
      </c>
      <c r="H339" s="4">
        <v>13</v>
      </c>
      <c r="I339" s="4">
        <v>0</v>
      </c>
      <c r="J339">
        <v>17</v>
      </c>
      <c r="K339">
        <v>22</v>
      </c>
      <c r="L339">
        <v>8</v>
      </c>
      <c r="M339">
        <f t="shared" si="35"/>
        <v>425</v>
      </c>
      <c r="N339">
        <f t="shared" si="36"/>
        <v>0</v>
      </c>
      <c r="O339">
        <f t="shared" si="37"/>
        <v>104</v>
      </c>
      <c r="P339">
        <f t="shared" si="38"/>
        <v>0</v>
      </c>
      <c r="Q339">
        <f t="shared" si="39"/>
        <v>529</v>
      </c>
      <c r="R339">
        <f t="shared" si="40"/>
        <v>5.29</v>
      </c>
      <c r="S339">
        <f t="shared" si="41"/>
        <v>523.71</v>
      </c>
      <c r="T339" t="s">
        <v>25</v>
      </c>
    </row>
    <row r="340" spans="1:20">
      <c r="A340" s="4">
        <v>5025433</v>
      </c>
      <c r="B340" s="5">
        <v>45510</v>
      </c>
      <c r="C340" s="4" t="s">
        <v>124</v>
      </c>
      <c r="D340" s="4" t="s">
        <v>125</v>
      </c>
      <c r="E340" s="4" t="s">
        <v>24</v>
      </c>
      <c r="F340" s="4">
        <v>9</v>
      </c>
      <c r="G340" s="4">
        <v>0</v>
      </c>
      <c r="H340" s="4">
        <v>1</v>
      </c>
      <c r="I340" s="4">
        <v>0</v>
      </c>
      <c r="J340">
        <v>17</v>
      </c>
      <c r="K340">
        <v>22</v>
      </c>
      <c r="L340">
        <v>8</v>
      </c>
      <c r="M340">
        <f t="shared" si="35"/>
        <v>153</v>
      </c>
      <c r="N340">
        <f t="shared" si="36"/>
        <v>0</v>
      </c>
      <c r="O340">
        <f t="shared" si="37"/>
        <v>8</v>
      </c>
      <c r="P340">
        <f t="shared" si="38"/>
        <v>0</v>
      </c>
      <c r="Q340">
        <f t="shared" si="39"/>
        <v>161</v>
      </c>
      <c r="R340">
        <f t="shared" si="40"/>
        <v>1.61</v>
      </c>
      <c r="S340">
        <f t="shared" si="41"/>
        <v>159.39</v>
      </c>
      <c r="T340" t="s">
        <v>25</v>
      </c>
    </row>
    <row r="341" spans="1:20">
      <c r="A341" s="4">
        <v>5025433</v>
      </c>
      <c r="B341" s="5">
        <v>45511</v>
      </c>
      <c r="C341" s="4" t="s">
        <v>124</v>
      </c>
      <c r="D341" s="4" t="s">
        <v>125</v>
      </c>
      <c r="E341" s="4" t="s">
        <v>24</v>
      </c>
      <c r="F341" s="4">
        <v>14</v>
      </c>
      <c r="G341" s="4">
        <v>24</v>
      </c>
      <c r="H341" s="4">
        <v>4</v>
      </c>
      <c r="I341" s="4">
        <v>0</v>
      </c>
      <c r="J341">
        <v>17</v>
      </c>
      <c r="K341">
        <v>22</v>
      </c>
      <c r="L341">
        <v>8</v>
      </c>
      <c r="M341">
        <f t="shared" si="35"/>
        <v>238</v>
      </c>
      <c r="N341">
        <f t="shared" si="36"/>
        <v>528</v>
      </c>
      <c r="O341">
        <f t="shared" si="37"/>
        <v>32</v>
      </c>
      <c r="P341">
        <f t="shared" si="38"/>
        <v>0</v>
      </c>
      <c r="Q341">
        <f t="shared" si="39"/>
        <v>798</v>
      </c>
      <c r="R341">
        <f t="shared" si="40"/>
        <v>7.98</v>
      </c>
      <c r="S341">
        <f t="shared" si="41"/>
        <v>790.02</v>
      </c>
      <c r="T341" t="s">
        <v>25</v>
      </c>
    </row>
    <row r="342" spans="1:20">
      <c r="A342" s="4">
        <v>5025433</v>
      </c>
      <c r="B342" s="5">
        <v>45512</v>
      </c>
      <c r="C342" s="4" t="s">
        <v>124</v>
      </c>
      <c r="D342" s="4" t="s">
        <v>125</v>
      </c>
      <c r="E342" s="4" t="s">
        <v>24</v>
      </c>
      <c r="F342" s="4">
        <v>20</v>
      </c>
      <c r="G342" s="4">
        <v>9</v>
      </c>
      <c r="H342" s="4">
        <v>8</v>
      </c>
      <c r="I342" s="4">
        <v>0</v>
      </c>
      <c r="J342">
        <v>17</v>
      </c>
      <c r="K342">
        <v>22</v>
      </c>
      <c r="L342">
        <v>8</v>
      </c>
      <c r="M342">
        <f t="shared" si="35"/>
        <v>340</v>
      </c>
      <c r="N342">
        <f t="shared" si="36"/>
        <v>198</v>
      </c>
      <c r="O342">
        <f t="shared" si="37"/>
        <v>64</v>
      </c>
      <c r="P342">
        <f t="shared" si="38"/>
        <v>0</v>
      </c>
      <c r="Q342">
        <f t="shared" si="39"/>
        <v>602</v>
      </c>
      <c r="R342">
        <f t="shared" si="40"/>
        <v>6.02</v>
      </c>
      <c r="S342">
        <f t="shared" si="41"/>
        <v>595.98</v>
      </c>
      <c r="T342" t="s">
        <v>25</v>
      </c>
    </row>
    <row r="343" spans="1:20">
      <c r="A343" s="4">
        <v>5025433</v>
      </c>
      <c r="B343" s="5">
        <v>45513</v>
      </c>
      <c r="C343" s="4" t="s">
        <v>124</v>
      </c>
      <c r="D343" s="4" t="s">
        <v>125</v>
      </c>
      <c r="E343" s="4" t="s">
        <v>24</v>
      </c>
      <c r="F343" s="4">
        <v>0</v>
      </c>
      <c r="G343" s="4">
        <v>12</v>
      </c>
      <c r="H343" s="4">
        <v>0</v>
      </c>
      <c r="I343" s="4">
        <v>0</v>
      </c>
      <c r="J343">
        <v>17</v>
      </c>
      <c r="K343">
        <v>22</v>
      </c>
      <c r="L343">
        <v>8</v>
      </c>
      <c r="M343">
        <f t="shared" si="35"/>
        <v>0</v>
      </c>
      <c r="N343">
        <f t="shared" si="36"/>
        <v>264</v>
      </c>
      <c r="O343">
        <f t="shared" si="37"/>
        <v>0</v>
      </c>
      <c r="P343">
        <f t="shared" si="38"/>
        <v>0</v>
      </c>
      <c r="Q343">
        <f t="shared" si="39"/>
        <v>264</v>
      </c>
      <c r="R343">
        <f t="shared" si="40"/>
        <v>2.64</v>
      </c>
      <c r="S343">
        <f t="shared" si="41"/>
        <v>261.36</v>
      </c>
      <c r="T343" t="s">
        <v>25</v>
      </c>
    </row>
    <row r="344" spans="1:20">
      <c r="A344" s="4">
        <v>5025433</v>
      </c>
      <c r="B344" s="5">
        <v>45514</v>
      </c>
      <c r="C344" s="4" t="s">
        <v>124</v>
      </c>
      <c r="D344" s="4" t="s">
        <v>125</v>
      </c>
      <c r="E344" s="4" t="s">
        <v>24</v>
      </c>
      <c r="F344" s="4">
        <v>0</v>
      </c>
      <c r="G344" s="4">
        <v>0</v>
      </c>
      <c r="H344" s="4">
        <v>0</v>
      </c>
      <c r="I344" s="4">
        <v>0</v>
      </c>
      <c r="J344">
        <v>17</v>
      </c>
      <c r="K344">
        <v>22</v>
      </c>
      <c r="L344">
        <v>8</v>
      </c>
      <c r="M344">
        <f t="shared" si="35"/>
        <v>0</v>
      </c>
      <c r="N344">
        <f t="shared" si="36"/>
        <v>0</v>
      </c>
      <c r="O344">
        <f t="shared" si="37"/>
        <v>0</v>
      </c>
      <c r="P344">
        <f t="shared" si="38"/>
        <v>0</v>
      </c>
      <c r="Q344">
        <f t="shared" si="39"/>
        <v>0</v>
      </c>
      <c r="R344">
        <f t="shared" si="40"/>
        <v>0</v>
      </c>
      <c r="S344">
        <f t="shared" si="41"/>
        <v>0</v>
      </c>
      <c r="T344" t="s">
        <v>25</v>
      </c>
    </row>
    <row r="345" spans="1:20">
      <c r="A345" s="4">
        <v>5036274</v>
      </c>
      <c r="B345" s="5">
        <v>45511</v>
      </c>
      <c r="C345" s="4" t="s">
        <v>126</v>
      </c>
      <c r="D345" s="4" t="s">
        <v>27</v>
      </c>
      <c r="E345" s="4" t="s">
        <v>24</v>
      </c>
      <c r="F345" s="4">
        <v>12</v>
      </c>
      <c r="G345" s="4">
        <v>0</v>
      </c>
      <c r="H345" s="4">
        <v>0</v>
      </c>
      <c r="I345" s="4">
        <v>0</v>
      </c>
      <c r="J345">
        <v>17</v>
      </c>
      <c r="K345">
        <v>22</v>
      </c>
      <c r="L345">
        <v>8</v>
      </c>
      <c r="M345">
        <f t="shared" si="35"/>
        <v>204</v>
      </c>
      <c r="N345">
        <f t="shared" si="36"/>
        <v>0</v>
      </c>
      <c r="O345">
        <f t="shared" si="37"/>
        <v>0</v>
      </c>
      <c r="P345">
        <f t="shared" si="38"/>
        <v>0</v>
      </c>
      <c r="Q345">
        <f t="shared" si="39"/>
        <v>204</v>
      </c>
      <c r="R345">
        <f t="shared" si="40"/>
        <v>2.04</v>
      </c>
      <c r="S345">
        <f t="shared" si="41"/>
        <v>201.96</v>
      </c>
      <c r="T345" t="s">
        <v>25</v>
      </c>
    </row>
    <row r="346" spans="1:20">
      <c r="A346" s="4">
        <v>5036274</v>
      </c>
      <c r="B346" s="5">
        <v>45512</v>
      </c>
      <c r="C346" s="4" t="s">
        <v>126</v>
      </c>
      <c r="D346" s="4" t="s">
        <v>27</v>
      </c>
      <c r="E346" s="4" t="s">
        <v>24</v>
      </c>
      <c r="F346" s="4">
        <v>6</v>
      </c>
      <c r="G346" s="4">
        <v>0</v>
      </c>
      <c r="H346" s="4">
        <v>1</v>
      </c>
      <c r="I346" s="4">
        <v>0</v>
      </c>
      <c r="J346">
        <v>17</v>
      </c>
      <c r="K346">
        <v>22</v>
      </c>
      <c r="L346">
        <v>8</v>
      </c>
      <c r="M346">
        <f t="shared" si="35"/>
        <v>102</v>
      </c>
      <c r="N346">
        <f t="shared" si="36"/>
        <v>0</v>
      </c>
      <c r="O346">
        <f t="shared" si="37"/>
        <v>8</v>
      </c>
      <c r="P346">
        <f t="shared" si="38"/>
        <v>0</v>
      </c>
      <c r="Q346">
        <f t="shared" si="39"/>
        <v>110</v>
      </c>
      <c r="R346">
        <f t="shared" si="40"/>
        <v>1.1</v>
      </c>
      <c r="S346">
        <f t="shared" si="41"/>
        <v>108.9</v>
      </c>
      <c r="T346" t="s">
        <v>25</v>
      </c>
    </row>
    <row r="347" spans="1:20">
      <c r="A347" s="4">
        <v>5036274</v>
      </c>
      <c r="B347" s="5">
        <v>45513</v>
      </c>
      <c r="C347" s="4" t="s">
        <v>126</v>
      </c>
      <c r="D347" s="4" t="s">
        <v>27</v>
      </c>
      <c r="E347" s="4" t="s">
        <v>24</v>
      </c>
      <c r="F347" s="4">
        <v>7</v>
      </c>
      <c r="G347" s="4">
        <v>0</v>
      </c>
      <c r="H347" s="4">
        <v>0</v>
      </c>
      <c r="I347" s="4">
        <v>0</v>
      </c>
      <c r="J347">
        <v>17</v>
      </c>
      <c r="K347">
        <v>22</v>
      </c>
      <c r="L347">
        <v>8</v>
      </c>
      <c r="M347">
        <f t="shared" si="35"/>
        <v>119</v>
      </c>
      <c r="N347">
        <f t="shared" si="36"/>
        <v>0</v>
      </c>
      <c r="O347">
        <f t="shared" si="37"/>
        <v>0</v>
      </c>
      <c r="P347">
        <f t="shared" si="38"/>
        <v>0</v>
      </c>
      <c r="Q347">
        <f t="shared" si="39"/>
        <v>119</v>
      </c>
      <c r="R347">
        <f t="shared" si="40"/>
        <v>1.19</v>
      </c>
      <c r="S347">
        <f t="shared" si="41"/>
        <v>117.81</v>
      </c>
      <c r="T347" t="s">
        <v>25</v>
      </c>
    </row>
    <row r="348" spans="1:20">
      <c r="A348" s="4">
        <v>5036274</v>
      </c>
      <c r="B348" s="5">
        <v>45514</v>
      </c>
      <c r="C348" s="4" t="s">
        <v>126</v>
      </c>
      <c r="D348" s="4" t="s">
        <v>27</v>
      </c>
      <c r="E348" s="4" t="s">
        <v>24</v>
      </c>
      <c r="F348" s="4">
        <v>10</v>
      </c>
      <c r="G348" s="4">
        <v>0</v>
      </c>
      <c r="H348" s="4">
        <v>0</v>
      </c>
      <c r="I348" s="4">
        <v>0</v>
      </c>
      <c r="J348">
        <v>17</v>
      </c>
      <c r="K348">
        <v>22</v>
      </c>
      <c r="L348">
        <v>8</v>
      </c>
      <c r="M348">
        <f t="shared" si="35"/>
        <v>170</v>
      </c>
      <c r="N348">
        <f t="shared" si="36"/>
        <v>0</v>
      </c>
      <c r="O348">
        <f t="shared" si="37"/>
        <v>0</v>
      </c>
      <c r="P348">
        <f t="shared" si="38"/>
        <v>0</v>
      </c>
      <c r="Q348">
        <f t="shared" si="39"/>
        <v>170</v>
      </c>
      <c r="R348">
        <f t="shared" si="40"/>
        <v>1.7</v>
      </c>
      <c r="S348">
        <f t="shared" si="41"/>
        <v>168.3</v>
      </c>
      <c r="T348" t="s">
        <v>25</v>
      </c>
    </row>
    <row r="349" spans="1:20">
      <c r="A349" s="4">
        <v>5046111</v>
      </c>
      <c r="B349" s="5">
        <v>45509</v>
      </c>
      <c r="C349" s="4" t="s">
        <v>127</v>
      </c>
      <c r="D349" s="4" t="s">
        <v>23</v>
      </c>
      <c r="E349" s="4" t="s">
        <v>24</v>
      </c>
      <c r="F349" s="4">
        <v>1</v>
      </c>
      <c r="G349" s="4">
        <v>0</v>
      </c>
      <c r="H349" s="4">
        <v>0</v>
      </c>
      <c r="I349" s="4">
        <v>0</v>
      </c>
      <c r="J349">
        <v>17</v>
      </c>
      <c r="K349">
        <v>22</v>
      </c>
      <c r="L349">
        <v>8</v>
      </c>
      <c r="M349">
        <f t="shared" si="35"/>
        <v>17</v>
      </c>
      <c r="N349">
        <f t="shared" si="36"/>
        <v>0</v>
      </c>
      <c r="O349">
        <f t="shared" si="37"/>
        <v>0</v>
      </c>
      <c r="P349">
        <f t="shared" si="38"/>
        <v>0</v>
      </c>
      <c r="Q349">
        <f t="shared" si="39"/>
        <v>17</v>
      </c>
      <c r="R349">
        <f t="shared" si="40"/>
        <v>0.17</v>
      </c>
      <c r="S349">
        <f t="shared" si="41"/>
        <v>16.83</v>
      </c>
      <c r="T349" t="s">
        <v>25</v>
      </c>
    </row>
    <row r="350" spans="1:20">
      <c r="A350" s="4">
        <v>5046111</v>
      </c>
      <c r="B350" s="5">
        <v>45510</v>
      </c>
      <c r="C350" s="4" t="s">
        <v>127</v>
      </c>
      <c r="D350" s="4" t="s">
        <v>23</v>
      </c>
      <c r="E350" s="4" t="s">
        <v>24</v>
      </c>
      <c r="F350" s="4">
        <v>14</v>
      </c>
      <c r="G350" s="4">
        <v>0</v>
      </c>
      <c r="H350" s="4">
        <v>0</v>
      </c>
      <c r="I350" s="4">
        <v>0</v>
      </c>
      <c r="J350">
        <v>17</v>
      </c>
      <c r="K350">
        <v>22</v>
      </c>
      <c r="L350">
        <v>8</v>
      </c>
      <c r="M350">
        <f t="shared" si="35"/>
        <v>238</v>
      </c>
      <c r="N350">
        <f t="shared" si="36"/>
        <v>0</v>
      </c>
      <c r="O350">
        <f t="shared" si="37"/>
        <v>0</v>
      </c>
      <c r="P350">
        <f t="shared" si="38"/>
        <v>0</v>
      </c>
      <c r="Q350">
        <f t="shared" si="39"/>
        <v>238</v>
      </c>
      <c r="R350">
        <f t="shared" si="40"/>
        <v>2.38</v>
      </c>
      <c r="S350">
        <f t="shared" si="41"/>
        <v>235.62</v>
      </c>
      <c r="T350" t="s">
        <v>25</v>
      </c>
    </row>
    <row r="351" spans="1:20">
      <c r="A351" s="4">
        <v>5046111</v>
      </c>
      <c r="B351" s="5">
        <v>45511</v>
      </c>
      <c r="C351" s="4" t="s">
        <v>127</v>
      </c>
      <c r="D351" s="4" t="s">
        <v>23</v>
      </c>
      <c r="E351" s="4" t="s">
        <v>24</v>
      </c>
      <c r="F351" s="4">
        <v>12</v>
      </c>
      <c r="G351" s="4">
        <v>0</v>
      </c>
      <c r="H351" s="4">
        <v>1</v>
      </c>
      <c r="I351" s="4">
        <v>0</v>
      </c>
      <c r="J351">
        <v>17</v>
      </c>
      <c r="K351">
        <v>22</v>
      </c>
      <c r="L351">
        <v>8</v>
      </c>
      <c r="M351">
        <f t="shared" si="35"/>
        <v>204</v>
      </c>
      <c r="N351">
        <f t="shared" si="36"/>
        <v>0</v>
      </c>
      <c r="O351">
        <f t="shared" si="37"/>
        <v>8</v>
      </c>
      <c r="P351">
        <f t="shared" si="38"/>
        <v>0</v>
      </c>
      <c r="Q351">
        <f t="shared" si="39"/>
        <v>212</v>
      </c>
      <c r="R351">
        <f t="shared" si="40"/>
        <v>2.12</v>
      </c>
      <c r="S351">
        <f t="shared" si="41"/>
        <v>209.88</v>
      </c>
      <c r="T351" t="s">
        <v>25</v>
      </c>
    </row>
    <row r="352" spans="1:20">
      <c r="A352" s="4">
        <v>5046496</v>
      </c>
      <c r="B352" s="5">
        <v>45511</v>
      </c>
      <c r="C352" s="4" t="s">
        <v>128</v>
      </c>
      <c r="D352" s="4" t="s">
        <v>58</v>
      </c>
      <c r="E352" s="4" t="s">
        <v>24</v>
      </c>
      <c r="F352" s="4">
        <v>54</v>
      </c>
      <c r="G352" s="4">
        <v>0</v>
      </c>
      <c r="H352" s="4">
        <v>5</v>
      </c>
      <c r="I352" s="4">
        <v>0</v>
      </c>
      <c r="J352">
        <v>17</v>
      </c>
      <c r="K352">
        <v>22</v>
      </c>
      <c r="L352">
        <v>8</v>
      </c>
      <c r="M352">
        <f t="shared" si="35"/>
        <v>918</v>
      </c>
      <c r="N352">
        <f t="shared" si="36"/>
        <v>0</v>
      </c>
      <c r="O352">
        <f t="shared" si="37"/>
        <v>40</v>
      </c>
      <c r="P352">
        <f t="shared" si="38"/>
        <v>0</v>
      </c>
      <c r="Q352">
        <f t="shared" si="39"/>
        <v>958</v>
      </c>
      <c r="R352">
        <f t="shared" si="40"/>
        <v>9.58</v>
      </c>
      <c r="S352">
        <f t="shared" si="41"/>
        <v>948.42</v>
      </c>
      <c r="T352" t="s">
        <v>25</v>
      </c>
    </row>
    <row r="353" spans="1:20">
      <c r="A353" s="4">
        <v>5046496</v>
      </c>
      <c r="B353" s="5">
        <v>45512</v>
      </c>
      <c r="C353" s="4" t="s">
        <v>128</v>
      </c>
      <c r="D353" s="4" t="s">
        <v>58</v>
      </c>
      <c r="E353" s="4" t="s">
        <v>24</v>
      </c>
      <c r="F353" s="4">
        <v>61</v>
      </c>
      <c r="G353" s="4">
        <v>0</v>
      </c>
      <c r="H353" s="4">
        <v>4</v>
      </c>
      <c r="I353" s="4">
        <v>0</v>
      </c>
      <c r="J353">
        <v>17</v>
      </c>
      <c r="K353">
        <v>22</v>
      </c>
      <c r="L353">
        <v>8</v>
      </c>
      <c r="M353">
        <f t="shared" si="35"/>
        <v>1037</v>
      </c>
      <c r="N353">
        <f t="shared" si="36"/>
        <v>0</v>
      </c>
      <c r="O353">
        <f t="shared" si="37"/>
        <v>32</v>
      </c>
      <c r="P353">
        <f t="shared" si="38"/>
        <v>0</v>
      </c>
      <c r="Q353">
        <f t="shared" si="39"/>
        <v>1069</v>
      </c>
      <c r="R353">
        <f t="shared" si="40"/>
        <v>10.69</v>
      </c>
      <c r="S353">
        <f t="shared" si="41"/>
        <v>1058.31</v>
      </c>
      <c r="T353" t="s">
        <v>25</v>
      </c>
    </row>
    <row r="354" spans="1:20">
      <c r="A354" s="4">
        <v>5046496</v>
      </c>
      <c r="B354" s="5">
        <v>45513</v>
      </c>
      <c r="C354" s="4" t="s">
        <v>128</v>
      </c>
      <c r="D354" s="4" t="s">
        <v>58</v>
      </c>
      <c r="E354" s="4" t="s">
        <v>24</v>
      </c>
      <c r="F354" s="4">
        <v>55</v>
      </c>
      <c r="G354" s="4">
        <v>0</v>
      </c>
      <c r="H354" s="4">
        <v>6</v>
      </c>
      <c r="I354" s="4">
        <v>0</v>
      </c>
      <c r="J354">
        <v>17</v>
      </c>
      <c r="K354">
        <v>22</v>
      </c>
      <c r="L354">
        <v>8</v>
      </c>
      <c r="M354">
        <f t="shared" si="35"/>
        <v>935</v>
      </c>
      <c r="N354">
        <f t="shared" si="36"/>
        <v>0</v>
      </c>
      <c r="O354">
        <f t="shared" si="37"/>
        <v>48</v>
      </c>
      <c r="P354">
        <f t="shared" si="38"/>
        <v>0</v>
      </c>
      <c r="Q354">
        <f t="shared" si="39"/>
        <v>983</v>
      </c>
      <c r="R354">
        <f t="shared" si="40"/>
        <v>9.83</v>
      </c>
      <c r="S354">
        <f t="shared" si="41"/>
        <v>973.17</v>
      </c>
      <c r="T354" t="s">
        <v>25</v>
      </c>
    </row>
    <row r="355" spans="1:20">
      <c r="A355" s="4">
        <v>5046496</v>
      </c>
      <c r="B355" s="5">
        <v>45514</v>
      </c>
      <c r="C355" s="4" t="s">
        <v>128</v>
      </c>
      <c r="D355" s="4" t="s">
        <v>58</v>
      </c>
      <c r="E355" s="4" t="s">
        <v>24</v>
      </c>
      <c r="F355" s="4">
        <v>44</v>
      </c>
      <c r="G355" s="4">
        <v>0</v>
      </c>
      <c r="H355" s="4">
        <v>3</v>
      </c>
      <c r="I355" s="4">
        <v>0</v>
      </c>
      <c r="J355">
        <v>17</v>
      </c>
      <c r="K355">
        <v>22</v>
      </c>
      <c r="L355">
        <v>8</v>
      </c>
      <c r="M355">
        <f t="shared" si="35"/>
        <v>748</v>
      </c>
      <c r="N355">
        <f t="shared" si="36"/>
        <v>0</v>
      </c>
      <c r="O355">
        <f t="shared" si="37"/>
        <v>24</v>
      </c>
      <c r="P355">
        <f t="shared" si="38"/>
        <v>0</v>
      </c>
      <c r="Q355">
        <f t="shared" si="39"/>
        <v>772</v>
      </c>
      <c r="R355">
        <f t="shared" si="40"/>
        <v>7.72</v>
      </c>
      <c r="S355">
        <f t="shared" si="41"/>
        <v>764.28</v>
      </c>
      <c r="T355" t="s">
        <v>25</v>
      </c>
    </row>
    <row r="356" spans="1:20">
      <c r="A356" s="4">
        <v>5058578</v>
      </c>
      <c r="B356" s="5">
        <v>45511</v>
      </c>
      <c r="C356" s="4" t="s">
        <v>126</v>
      </c>
      <c r="D356" s="4" t="s">
        <v>27</v>
      </c>
      <c r="E356" s="4" t="s">
        <v>24</v>
      </c>
      <c r="F356" s="4">
        <v>11</v>
      </c>
      <c r="G356" s="4">
        <v>0</v>
      </c>
      <c r="H356" s="4">
        <v>4</v>
      </c>
      <c r="I356" s="4">
        <v>0</v>
      </c>
      <c r="J356">
        <v>17</v>
      </c>
      <c r="K356">
        <v>22</v>
      </c>
      <c r="L356">
        <v>8</v>
      </c>
      <c r="M356">
        <f t="shared" si="35"/>
        <v>187</v>
      </c>
      <c r="N356">
        <f t="shared" si="36"/>
        <v>0</v>
      </c>
      <c r="O356">
        <f t="shared" si="37"/>
        <v>32</v>
      </c>
      <c r="P356">
        <f t="shared" si="38"/>
        <v>0</v>
      </c>
      <c r="Q356">
        <f t="shared" si="39"/>
        <v>219</v>
      </c>
      <c r="R356">
        <f t="shared" si="40"/>
        <v>2.19</v>
      </c>
      <c r="S356">
        <f t="shared" si="41"/>
        <v>216.81</v>
      </c>
      <c r="T356" t="s">
        <v>25</v>
      </c>
    </row>
    <row r="357" spans="1:20">
      <c r="A357" s="4">
        <v>5058578</v>
      </c>
      <c r="B357" s="5">
        <v>45512</v>
      </c>
      <c r="C357" s="4" t="s">
        <v>126</v>
      </c>
      <c r="D357" s="4" t="s">
        <v>27</v>
      </c>
      <c r="E357" s="4" t="s">
        <v>24</v>
      </c>
      <c r="F357" s="4">
        <v>18</v>
      </c>
      <c r="G357" s="4">
        <v>0</v>
      </c>
      <c r="H357" s="4">
        <v>2</v>
      </c>
      <c r="I357" s="4">
        <v>0</v>
      </c>
      <c r="J357">
        <v>17</v>
      </c>
      <c r="K357">
        <v>22</v>
      </c>
      <c r="L357">
        <v>8</v>
      </c>
      <c r="M357">
        <f t="shared" si="35"/>
        <v>306</v>
      </c>
      <c r="N357">
        <f t="shared" si="36"/>
        <v>0</v>
      </c>
      <c r="O357">
        <f t="shared" si="37"/>
        <v>16</v>
      </c>
      <c r="P357">
        <f t="shared" si="38"/>
        <v>0</v>
      </c>
      <c r="Q357">
        <f t="shared" si="39"/>
        <v>322</v>
      </c>
      <c r="R357">
        <f t="shared" si="40"/>
        <v>3.22</v>
      </c>
      <c r="S357">
        <f t="shared" si="41"/>
        <v>318.78</v>
      </c>
      <c r="T357" t="s">
        <v>25</v>
      </c>
    </row>
    <row r="358" spans="1:20">
      <c r="A358" s="4">
        <v>5058578</v>
      </c>
      <c r="B358" s="5">
        <v>45513</v>
      </c>
      <c r="C358" s="4" t="s">
        <v>126</v>
      </c>
      <c r="D358" s="4" t="s">
        <v>27</v>
      </c>
      <c r="E358" s="4" t="s">
        <v>24</v>
      </c>
      <c r="F358" s="4">
        <v>14</v>
      </c>
      <c r="G358" s="4">
        <v>0</v>
      </c>
      <c r="H358" s="4">
        <v>5</v>
      </c>
      <c r="I358" s="4">
        <v>0</v>
      </c>
      <c r="J358">
        <v>17</v>
      </c>
      <c r="K358">
        <v>22</v>
      </c>
      <c r="L358">
        <v>8</v>
      </c>
      <c r="M358">
        <f t="shared" si="35"/>
        <v>238</v>
      </c>
      <c r="N358">
        <f t="shared" si="36"/>
        <v>0</v>
      </c>
      <c r="O358">
        <f t="shared" si="37"/>
        <v>40</v>
      </c>
      <c r="P358">
        <f t="shared" si="38"/>
        <v>0</v>
      </c>
      <c r="Q358">
        <f t="shared" si="39"/>
        <v>278</v>
      </c>
      <c r="R358">
        <f t="shared" si="40"/>
        <v>2.78</v>
      </c>
      <c r="S358">
        <f t="shared" si="41"/>
        <v>275.22</v>
      </c>
      <c r="T358" t="s">
        <v>25</v>
      </c>
    </row>
    <row r="359" spans="1:20">
      <c r="A359" s="4">
        <v>5058578</v>
      </c>
      <c r="B359" s="5">
        <v>45515</v>
      </c>
      <c r="C359" s="4" t="s">
        <v>126</v>
      </c>
      <c r="D359" s="4" t="s">
        <v>27</v>
      </c>
      <c r="E359" s="4" t="s">
        <v>24</v>
      </c>
      <c r="F359" s="4">
        <v>14</v>
      </c>
      <c r="G359" s="4">
        <v>0</v>
      </c>
      <c r="H359" s="4">
        <v>5</v>
      </c>
      <c r="I359" s="4">
        <v>0</v>
      </c>
      <c r="J359">
        <v>17</v>
      </c>
      <c r="K359">
        <v>22</v>
      </c>
      <c r="L359">
        <v>8</v>
      </c>
      <c r="M359">
        <f t="shared" si="35"/>
        <v>238</v>
      </c>
      <c r="N359">
        <f t="shared" si="36"/>
        <v>0</v>
      </c>
      <c r="O359">
        <f t="shared" si="37"/>
        <v>40</v>
      </c>
      <c r="P359">
        <f t="shared" si="38"/>
        <v>0</v>
      </c>
      <c r="Q359">
        <f t="shared" si="39"/>
        <v>278</v>
      </c>
      <c r="R359">
        <f t="shared" si="40"/>
        <v>2.78</v>
      </c>
      <c r="S359">
        <f t="shared" si="41"/>
        <v>275.22</v>
      </c>
      <c r="T359" t="s">
        <v>25</v>
      </c>
    </row>
    <row r="360" spans="1:20">
      <c r="A360" s="4">
        <v>5061023</v>
      </c>
      <c r="B360" s="5">
        <v>45514</v>
      </c>
      <c r="C360" s="4" t="s">
        <v>129</v>
      </c>
      <c r="D360" s="4" t="s">
        <v>65</v>
      </c>
      <c r="E360" s="4" t="s">
        <v>24</v>
      </c>
      <c r="F360" s="4">
        <v>10</v>
      </c>
      <c r="G360" s="4">
        <v>0</v>
      </c>
      <c r="H360" s="4">
        <v>0</v>
      </c>
      <c r="I360" s="4">
        <v>0</v>
      </c>
      <c r="J360">
        <v>17</v>
      </c>
      <c r="K360">
        <v>22</v>
      </c>
      <c r="L360">
        <v>8</v>
      </c>
      <c r="M360">
        <f t="shared" si="35"/>
        <v>170</v>
      </c>
      <c r="N360">
        <f t="shared" si="36"/>
        <v>0</v>
      </c>
      <c r="O360">
        <f t="shared" si="37"/>
        <v>0</v>
      </c>
      <c r="P360">
        <f t="shared" si="38"/>
        <v>0</v>
      </c>
      <c r="Q360">
        <f t="shared" si="39"/>
        <v>170</v>
      </c>
      <c r="R360">
        <f t="shared" si="40"/>
        <v>1.7</v>
      </c>
      <c r="S360">
        <f t="shared" si="41"/>
        <v>168.3</v>
      </c>
      <c r="T360" t="s">
        <v>25</v>
      </c>
    </row>
    <row r="361" spans="1:20">
      <c r="A361" s="4">
        <v>5062979</v>
      </c>
      <c r="B361" s="5">
        <v>45512</v>
      </c>
      <c r="C361" s="4" t="s">
        <v>130</v>
      </c>
      <c r="D361" s="4" t="s">
        <v>27</v>
      </c>
      <c r="E361" s="4" t="s">
        <v>24</v>
      </c>
      <c r="F361" s="4">
        <v>15</v>
      </c>
      <c r="G361" s="4">
        <v>0</v>
      </c>
      <c r="H361" s="4">
        <v>0</v>
      </c>
      <c r="I361" s="4">
        <v>0</v>
      </c>
      <c r="J361">
        <v>17</v>
      </c>
      <c r="K361">
        <v>22</v>
      </c>
      <c r="L361">
        <v>8</v>
      </c>
      <c r="M361">
        <f t="shared" si="35"/>
        <v>255</v>
      </c>
      <c r="N361">
        <f t="shared" si="36"/>
        <v>0</v>
      </c>
      <c r="O361">
        <f t="shared" si="37"/>
        <v>0</v>
      </c>
      <c r="P361">
        <f t="shared" si="38"/>
        <v>0</v>
      </c>
      <c r="Q361">
        <f t="shared" si="39"/>
        <v>255</v>
      </c>
      <c r="R361">
        <f t="shared" si="40"/>
        <v>2.55</v>
      </c>
      <c r="S361">
        <f t="shared" si="41"/>
        <v>252.45</v>
      </c>
      <c r="T361" t="s">
        <v>25</v>
      </c>
    </row>
    <row r="362" spans="1:20">
      <c r="A362" s="4">
        <v>5062979</v>
      </c>
      <c r="B362" s="5">
        <v>45513</v>
      </c>
      <c r="C362" s="4" t="s">
        <v>130</v>
      </c>
      <c r="D362" s="4" t="s">
        <v>27</v>
      </c>
      <c r="E362" s="4" t="s">
        <v>24</v>
      </c>
      <c r="F362" s="4">
        <v>15</v>
      </c>
      <c r="G362" s="4">
        <v>0</v>
      </c>
      <c r="H362" s="4">
        <v>4</v>
      </c>
      <c r="I362" s="4">
        <v>0</v>
      </c>
      <c r="J362">
        <v>17</v>
      </c>
      <c r="K362">
        <v>22</v>
      </c>
      <c r="L362">
        <v>8</v>
      </c>
      <c r="M362">
        <f t="shared" si="35"/>
        <v>255</v>
      </c>
      <c r="N362">
        <f t="shared" si="36"/>
        <v>0</v>
      </c>
      <c r="O362">
        <f t="shared" si="37"/>
        <v>32</v>
      </c>
      <c r="P362">
        <f t="shared" si="38"/>
        <v>0</v>
      </c>
      <c r="Q362">
        <f t="shared" si="39"/>
        <v>287</v>
      </c>
      <c r="R362">
        <f t="shared" si="40"/>
        <v>2.87</v>
      </c>
      <c r="S362">
        <f t="shared" si="41"/>
        <v>284.13</v>
      </c>
      <c r="T362" t="s">
        <v>25</v>
      </c>
    </row>
    <row r="363" spans="1:20">
      <c r="A363" s="4">
        <v>5062979</v>
      </c>
      <c r="B363" s="5">
        <v>45514</v>
      </c>
      <c r="C363" s="4" t="s">
        <v>130</v>
      </c>
      <c r="D363" s="4" t="s">
        <v>27</v>
      </c>
      <c r="E363" s="4" t="s">
        <v>24</v>
      </c>
      <c r="F363" s="4">
        <v>16</v>
      </c>
      <c r="G363" s="4">
        <v>0</v>
      </c>
      <c r="H363" s="4">
        <v>2</v>
      </c>
      <c r="I363" s="4">
        <v>0</v>
      </c>
      <c r="J363">
        <v>17</v>
      </c>
      <c r="K363">
        <v>22</v>
      </c>
      <c r="L363">
        <v>8</v>
      </c>
      <c r="M363">
        <f t="shared" si="35"/>
        <v>272</v>
      </c>
      <c r="N363">
        <f t="shared" si="36"/>
        <v>0</v>
      </c>
      <c r="O363">
        <f t="shared" si="37"/>
        <v>16</v>
      </c>
      <c r="P363">
        <f t="shared" si="38"/>
        <v>0</v>
      </c>
      <c r="Q363">
        <f t="shared" si="39"/>
        <v>288</v>
      </c>
      <c r="R363">
        <f t="shared" si="40"/>
        <v>2.88</v>
      </c>
      <c r="S363">
        <f t="shared" si="41"/>
        <v>285.12</v>
      </c>
      <c r="T363" t="s">
        <v>25</v>
      </c>
    </row>
    <row r="364" spans="1:20">
      <c r="A364" s="4">
        <v>5062979</v>
      </c>
      <c r="B364" s="5">
        <v>45515</v>
      </c>
      <c r="C364" s="4" t="s">
        <v>130</v>
      </c>
      <c r="D364" s="4" t="s">
        <v>27</v>
      </c>
      <c r="E364" s="4" t="s">
        <v>24</v>
      </c>
      <c r="F364" s="4">
        <v>17</v>
      </c>
      <c r="G364" s="4">
        <v>0</v>
      </c>
      <c r="H364" s="4">
        <v>2</v>
      </c>
      <c r="I364" s="4">
        <v>0</v>
      </c>
      <c r="J364">
        <v>17</v>
      </c>
      <c r="K364">
        <v>22</v>
      </c>
      <c r="L364">
        <v>8</v>
      </c>
      <c r="M364">
        <f t="shared" si="35"/>
        <v>289</v>
      </c>
      <c r="N364">
        <f t="shared" si="36"/>
        <v>0</v>
      </c>
      <c r="O364">
        <f t="shared" si="37"/>
        <v>16</v>
      </c>
      <c r="P364">
        <f t="shared" si="38"/>
        <v>0</v>
      </c>
      <c r="Q364">
        <f t="shared" si="39"/>
        <v>305</v>
      </c>
      <c r="R364">
        <f t="shared" si="40"/>
        <v>3.05</v>
      </c>
      <c r="S364">
        <f t="shared" si="41"/>
        <v>301.95</v>
      </c>
      <c r="T364" t="s">
        <v>25</v>
      </c>
    </row>
    <row r="365" spans="1:20">
      <c r="A365" s="4">
        <v>5068174</v>
      </c>
      <c r="B365" s="5">
        <v>45512</v>
      </c>
      <c r="C365" s="4" t="s">
        <v>131</v>
      </c>
      <c r="D365" s="4" t="s">
        <v>115</v>
      </c>
      <c r="E365" s="4" t="s">
        <v>24</v>
      </c>
      <c r="F365" s="4">
        <v>15</v>
      </c>
      <c r="G365" s="4">
        <v>0</v>
      </c>
      <c r="H365" s="4">
        <v>0</v>
      </c>
      <c r="I365" s="4">
        <v>0</v>
      </c>
      <c r="J365">
        <v>17</v>
      </c>
      <c r="K365">
        <v>22</v>
      </c>
      <c r="L365">
        <v>8</v>
      </c>
      <c r="M365">
        <f t="shared" si="35"/>
        <v>255</v>
      </c>
      <c r="N365">
        <f t="shared" si="36"/>
        <v>0</v>
      </c>
      <c r="O365">
        <f t="shared" si="37"/>
        <v>0</v>
      </c>
      <c r="P365">
        <f t="shared" si="38"/>
        <v>0</v>
      </c>
      <c r="Q365">
        <f t="shared" si="39"/>
        <v>255</v>
      </c>
      <c r="R365">
        <f t="shared" si="40"/>
        <v>2.55</v>
      </c>
      <c r="S365">
        <f t="shared" si="41"/>
        <v>252.45</v>
      </c>
      <c r="T365" t="s">
        <v>25</v>
      </c>
    </row>
    <row r="366" spans="1:20">
      <c r="A366" s="4">
        <v>5068174</v>
      </c>
      <c r="B366" s="5">
        <v>45513</v>
      </c>
      <c r="C366" s="4" t="s">
        <v>131</v>
      </c>
      <c r="D366" s="4" t="s">
        <v>115</v>
      </c>
      <c r="E366" s="4" t="s">
        <v>24</v>
      </c>
      <c r="F366" s="4">
        <v>7</v>
      </c>
      <c r="G366" s="4">
        <v>0</v>
      </c>
      <c r="H366" s="4">
        <v>0</v>
      </c>
      <c r="I366" s="4">
        <v>0</v>
      </c>
      <c r="J366">
        <v>17</v>
      </c>
      <c r="K366">
        <v>22</v>
      </c>
      <c r="L366">
        <v>8</v>
      </c>
      <c r="M366">
        <f t="shared" si="35"/>
        <v>119</v>
      </c>
      <c r="N366">
        <f t="shared" si="36"/>
        <v>0</v>
      </c>
      <c r="O366">
        <f t="shared" si="37"/>
        <v>0</v>
      </c>
      <c r="P366">
        <f t="shared" si="38"/>
        <v>0</v>
      </c>
      <c r="Q366">
        <f t="shared" si="39"/>
        <v>119</v>
      </c>
      <c r="R366">
        <f t="shared" si="40"/>
        <v>1.19</v>
      </c>
      <c r="S366">
        <f t="shared" si="41"/>
        <v>117.81</v>
      </c>
      <c r="T366" t="s">
        <v>25</v>
      </c>
    </row>
    <row r="367" spans="1:20">
      <c r="A367" s="4">
        <v>5068174</v>
      </c>
      <c r="B367" s="5">
        <v>45514</v>
      </c>
      <c r="C367" s="4" t="s">
        <v>131</v>
      </c>
      <c r="D367" s="4" t="s">
        <v>115</v>
      </c>
      <c r="E367" s="4" t="s">
        <v>24</v>
      </c>
      <c r="F367" s="4">
        <v>22</v>
      </c>
      <c r="G367" s="4">
        <v>0</v>
      </c>
      <c r="H367" s="4">
        <v>0</v>
      </c>
      <c r="I367" s="4">
        <v>0</v>
      </c>
      <c r="J367">
        <v>17</v>
      </c>
      <c r="K367">
        <v>22</v>
      </c>
      <c r="L367">
        <v>8</v>
      </c>
      <c r="M367">
        <f t="shared" si="35"/>
        <v>374</v>
      </c>
      <c r="N367">
        <f t="shared" si="36"/>
        <v>0</v>
      </c>
      <c r="O367">
        <f t="shared" si="37"/>
        <v>0</v>
      </c>
      <c r="P367">
        <f t="shared" si="38"/>
        <v>0</v>
      </c>
      <c r="Q367">
        <f t="shared" si="39"/>
        <v>374</v>
      </c>
      <c r="R367">
        <f t="shared" si="40"/>
        <v>3.74</v>
      </c>
      <c r="S367">
        <f t="shared" si="41"/>
        <v>370.26</v>
      </c>
      <c r="T367" t="s">
        <v>25</v>
      </c>
    </row>
    <row r="368" spans="1:20">
      <c r="A368" s="4">
        <v>5068174</v>
      </c>
      <c r="B368" s="5">
        <v>45515</v>
      </c>
      <c r="C368" s="4" t="s">
        <v>131</v>
      </c>
      <c r="D368" s="4" t="s">
        <v>115</v>
      </c>
      <c r="E368" s="4" t="s">
        <v>24</v>
      </c>
      <c r="F368" s="4">
        <v>15</v>
      </c>
      <c r="G368" s="4">
        <v>0</v>
      </c>
      <c r="H368" s="4">
        <v>2</v>
      </c>
      <c r="I368" s="4">
        <v>0</v>
      </c>
      <c r="J368">
        <v>17</v>
      </c>
      <c r="K368">
        <v>22</v>
      </c>
      <c r="L368">
        <v>8</v>
      </c>
      <c r="M368">
        <f t="shared" si="35"/>
        <v>255</v>
      </c>
      <c r="N368">
        <f t="shared" si="36"/>
        <v>0</v>
      </c>
      <c r="O368">
        <f t="shared" si="37"/>
        <v>16</v>
      </c>
      <c r="P368">
        <f t="shared" si="38"/>
        <v>0</v>
      </c>
      <c r="Q368">
        <f t="shared" si="39"/>
        <v>271</v>
      </c>
      <c r="R368">
        <f t="shared" si="40"/>
        <v>2.71</v>
      </c>
      <c r="S368">
        <f t="shared" si="41"/>
        <v>268.29</v>
      </c>
      <c r="T368" t="s">
        <v>25</v>
      </c>
    </row>
    <row r="369" spans="1:20">
      <c r="A369" s="4">
        <v>5077579</v>
      </c>
      <c r="B369" s="5">
        <v>45512</v>
      </c>
      <c r="C369" s="4" t="s">
        <v>132</v>
      </c>
      <c r="D369" s="4" t="s">
        <v>29</v>
      </c>
      <c r="E369" s="4" t="s">
        <v>24</v>
      </c>
      <c r="F369" s="4">
        <v>41</v>
      </c>
      <c r="G369" s="4">
        <v>0</v>
      </c>
      <c r="H369" s="4">
        <v>9</v>
      </c>
      <c r="I369" s="4">
        <v>0</v>
      </c>
      <c r="J369">
        <v>17</v>
      </c>
      <c r="K369">
        <v>22</v>
      </c>
      <c r="L369">
        <v>8</v>
      </c>
      <c r="M369">
        <f t="shared" si="35"/>
        <v>697</v>
      </c>
      <c r="N369">
        <f t="shared" si="36"/>
        <v>0</v>
      </c>
      <c r="O369">
        <f t="shared" si="37"/>
        <v>72</v>
      </c>
      <c r="P369">
        <f t="shared" si="38"/>
        <v>0</v>
      </c>
      <c r="Q369">
        <f t="shared" si="39"/>
        <v>769</v>
      </c>
      <c r="R369">
        <f t="shared" si="40"/>
        <v>7.69</v>
      </c>
      <c r="S369">
        <f t="shared" si="41"/>
        <v>761.31</v>
      </c>
      <c r="T369" t="s">
        <v>25</v>
      </c>
    </row>
    <row r="370" spans="1:20">
      <c r="A370" s="4">
        <v>5077579</v>
      </c>
      <c r="B370" s="5">
        <v>45513</v>
      </c>
      <c r="C370" s="4" t="s">
        <v>132</v>
      </c>
      <c r="D370" s="4" t="s">
        <v>29</v>
      </c>
      <c r="E370" s="4" t="s">
        <v>24</v>
      </c>
      <c r="F370" s="4">
        <v>46</v>
      </c>
      <c r="G370" s="4">
        <v>0</v>
      </c>
      <c r="H370" s="4">
        <v>14</v>
      </c>
      <c r="I370" s="4">
        <v>0</v>
      </c>
      <c r="J370">
        <v>17</v>
      </c>
      <c r="K370">
        <v>22</v>
      </c>
      <c r="L370">
        <v>8</v>
      </c>
      <c r="M370">
        <f t="shared" si="35"/>
        <v>782</v>
      </c>
      <c r="N370">
        <f t="shared" si="36"/>
        <v>0</v>
      </c>
      <c r="O370">
        <f t="shared" si="37"/>
        <v>112</v>
      </c>
      <c r="P370">
        <f t="shared" si="38"/>
        <v>0</v>
      </c>
      <c r="Q370">
        <f t="shared" si="39"/>
        <v>894</v>
      </c>
      <c r="R370">
        <f t="shared" si="40"/>
        <v>8.94</v>
      </c>
      <c r="S370">
        <f t="shared" si="41"/>
        <v>885.06</v>
      </c>
      <c r="T370" t="s">
        <v>25</v>
      </c>
    </row>
    <row r="371" spans="1:20">
      <c r="A371" s="4">
        <v>5077620</v>
      </c>
      <c r="B371" s="5">
        <v>45512</v>
      </c>
      <c r="C371" s="4" t="s">
        <v>133</v>
      </c>
      <c r="D371" s="4" t="s">
        <v>98</v>
      </c>
      <c r="E371" s="4" t="s">
        <v>54</v>
      </c>
      <c r="F371" s="4">
        <v>17</v>
      </c>
      <c r="G371" s="4">
        <v>0</v>
      </c>
      <c r="H371" s="4">
        <v>1</v>
      </c>
      <c r="I371" s="4">
        <v>0</v>
      </c>
      <c r="J371">
        <v>17</v>
      </c>
      <c r="K371">
        <v>22</v>
      </c>
      <c r="L371">
        <v>8</v>
      </c>
      <c r="M371">
        <f t="shared" si="35"/>
        <v>289</v>
      </c>
      <c r="N371">
        <f t="shared" si="36"/>
        <v>0</v>
      </c>
      <c r="O371">
        <f t="shared" si="37"/>
        <v>8</v>
      </c>
      <c r="P371">
        <f t="shared" si="38"/>
        <v>0</v>
      </c>
      <c r="Q371">
        <f t="shared" si="39"/>
        <v>297</v>
      </c>
      <c r="R371">
        <f t="shared" si="40"/>
        <v>2.97</v>
      </c>
      <c r="S371">
        <f t="shared" si="41"/>
        <v>294.03</v>
      </c>
      <c r="T371" t="s">
        <v>25</v>
      </c>
    </row>
    <row r="372" spans="1:20">
      <c r="A372" s="4">
        <v>5077620</v>
      </c>
      <c r="B372" s="5">
        <v>45513</v>
      </c>
      <c r="C372" s="4" t="s">
        <v>133</v>
      </c>
      <c r="D372" s="4" t="s">
        <v>98</v>
      </c>
      <c r="E372" s="4" t="s">
        <v>54</v>
      </c>
      <c r="F372" s="4">
        <v>26</v>
      </c>
      <c r="G372" s="4">
        <v>0</v>
      </c>
      <c r="H372" s="4">
        <v>2</v>
      </c>
      <c r="I372" s="4">
        <v>0</v>
      </c>
      <c r="J372">
        <v>17</v>
      </c>
      <c r="K372">
        <v>22</v>
      </c>
      <c r="L372">
        <v>8</v>
      </c>
      <c r="M372">
        <f t="shared" si="35"/>
        <v>442</v>
      </c>
      <c r="N372">
        <f t="shared" si="36"/>
        <v>0</v>
      </c>
      <c r="O372">
        <f t="shared" si="37"/>
        <v>16</v>
      </c>
      <c r="P372">
        <f t="shared" si="38"/>
        <v>0</v>
      </c>
      <c r="Q372">
        <f t="shared" si="39"/>
        <v>458</v>
      </c>
      <c r="R372">
        <f t="shared" si="40"/>
        <v>4.58</v>
      </c>
      <c r="S372">
        <f t="shared" si="41"/>
        <v>453.42</v>
      </c>
      <c r="T372" t="s">
        <v>25</v>
      </c>
    </row>
    <row r="373" spans="1:20">
      <c r="A373" s="4">
        <v>5077620</v>
      </c>
      <c r="B373" s="5">
        <v>45514</v>
      </c>
      <c r="C373" s="4" t="s">
        <v>133</v>
      </c>
      <c r="D373" s="4" t="s">
        <v>98</v>
      </c>
      <c r="E373" s="4" t="s">
        <v>54</v>
      </c>
      <c r="F373" s="4">
        <v>13</v>
      </c>
      <c r="G373" s="4">
        <v>0</v>
      </c>
      <c r="H373" s="4">
        <v>1</v>
      </c>
      <c r="I373" s="4">
        <v>0</v>
      </c>
      <c r="J373">
        <v>17</v>
      </c>
      <c r="K373">
        <v>22</v>
      </c>
      <c r="L373">
        <v>8</v>
      </c>
      <c r="M373">
        <f t="shared" si="35"/>
        <v>221</v>
      </c>
      <c r="N373">
        <f t="shared" si="36"/>
        <v>0</v>
      </c>
      <c r="O373">
        <f t="shared" si="37"/>
        <v>8</v>
      </c>
      <c r="P373">
        <f t="shared" si="38"/>
        <v>0</v>
      </c>
      <c r="Q373">
        <f t="shared" si="39"/>
        <v>229</v>
      </c>
      <c r="R373">
        <f t="shared" si="40"/>
        <v>2.29</v>
      </c>
      <c r="S373">
        <f t="shared" si="41"/>
        <v>226.71</v>
      </c>
      <c r="T373" t="s">
        <v>25</v>
      </c>
    </row>
    <row r="374" spans="1:20">
      <c r="A374" s="4">
        <v>5077620</v>
      </c>
      <c r="B374" s="5">
        <v>45515</v>
      </c>
      <c r="C374" s="4" t="s">
        <v>133</v>
      </c>
      <c r="D374" s="4" t="s">
        <v>98</v>
      </c>
      <c r="E374" s="4" t="s">
        <v>54</v>
      </c>
      <c r="F374" s="4">
        <v>23</v>
      </c>
      <c r="G374" s="4">
        <v>0</v>
      </c>
      <c r="H374" s="4">
        <v>2</v>
      </c>
      <c r="I374" s="4">
        <v>0</v>
      </c>
      <c r="J374">
        <v>17</v>
      </c>
      <c r="K374">
        <v>22</v>
      </c>
      <c r="L374">
        <v>8</v>
      </c>
      <c r="M374">
        <f t="shared" si="35"/>
        <v>391</v>
      </c>
      <c r="N374">
        <f t="shared" si="36"/>
        <v>0</v>
      </c>
      <c r="O374">
        <f t="shared" si="37"/>
        <v>16</v>
      </c>
      <c r="P374">
        <f t="shared" si="38"/>
        <v>0</v>
      </c>
      <c r="Q374">
        <f t="shared" si="39"/>
        <v>407</v>
      </c>
      <c r="R374">
        <f t="shared" si="40"/>
        <v>4.07</v>
      </c>
      <c r="S374">
        <f t="shared" si="41"/>
        <v>402.93</v>
      </c>
      <c r="T374" t="s">
        <v>25</v>
      </c>
    </row>
    <row r="375" spans="1:20">
      <c r="A375" s="4">
        <v>5084605</v>
      </c>
      <c r="B375" s="5">
        <v>45513</v>
      </c>
      <c r="C375" s="4" t="s">
        <v>68</v>
      </c>
      <c r="D375" s="4" t="s">
        <v>29</v>
      </c>
      <c r="E375" s="4" t="s">
        <v>24</v>
      </c>
      <c r="F375" s="4">
        <v>1</v>
      </c>
      <c r="G375" s="4">
        <v>5</v>
      </c>
      <c r="H375" s="4">
        <v>2</v>
      </c>
      <c r="I375" s="4">
        <v>0</v>
      </c>
      <c r="J375">
        <v>17</v>
      </c>
      <c r="K375">
        <v>22</v>
      </c>
      <c r="L375">
        <v>8</v>
      </c>
      <c r="M375">
        <f t="shared" si="35"/>
        <v>17</v>
      </c>
      <c r="N375">
        <f t="shared" si="36"/>
        <v>110</v>
      </c>
      <c r="O375">
        <f t="shared" si="37"/>
        <v>16</v>
      </c>
      <c r="P375">
        <f t="shared" si="38"/>
        <v>0</v>
      </c>
      <c r="Q375">
        <f t="shared" si="39"/>
        <v>143</v>
      </c>
      <c r="R375">
        <f t="shared" si="40"/>
        <v>1.43</v>
      </c>
      <c r="S375">
        <f t="shared" si="41"/>
        <v>141.57</v>
      </c>
      <c r="T375" t="s">
        <v>25</v>
      </c>
    </row>
    <row r="376" spans="1:20">
      <c r="A376" s="4">
        <v>5084605</v>
      </c>
      <c r="B376" s="5">
        <v>45514</v>
      </c>
      <c r="C376" s="4" t="s">
        <v>68</v>
      </c>
      <c r="D376" s="4" t="s">
        <v>29</v>
      </c>
      <c r="E376" s="4" t="s">
        <v>24</v>
      </c>
      <c r="F376" s="4">
        <v>0</v>
      </c>
      <c r="G376" s="4">
        <v>9</v>
      </c>
      <c r="H376" s="4">
        <v>1</v>
      </c>
      <c r="I376" s="4">
        <v>0</v>
      </c>
      <c r="J376">
        <v>17</v>
      </c>
      <c r="K376">
        <v>22</v>
      </c>
      <c r="L376">
        <v>8</v>
      </c>
      <c r="M376">
        <f t="shared" si="35"/>
        <v>0</v>
      </c>
      <c r="N376">
        <f t="shared" si="36"/>
        <v>198</v>
      </c>
      <c r="O376">
        <f t="shared" si="37"/>
        <v>8</v>
      </c>
      <c r="P376">
        <f t="shared" si="38"/>
        <v>0</v>
      </c>
      <c r="Q376">
        <f t="shared" si="39"/>
        <v>206</v>
      </c>
      <c r="R376">
        <f t="shared" si="40"/>
        <v>2.06</v>
      </c>
      <c r="S376">
        <f t="shared" si="41"/>
        <v>203.94</v>
      </c>
      <c r="T376" t="s">
        <v>25</v>
      </c>
    </row>
    <row r="377" spans="1:20">
      <c r="A377" s="4">
        <v>5084605</v>
      </c>
      <c r="B377" s="5">
        <v>45515</v>
      </c>
      <c r="C377" s="4" t="s">
        <v>68</v>
      </c>
      <c r="D377" s="4" t="s">
        <v>29</v>
      </c>
      <c r="E377" s="4" t="s">
        <v>24</v>
      </c>
      <c r="F377" s="4">
        <v>17</v>
      </c>
      <c r="G377" s="4">
        <v>0</v>
      </c>
      <c r="H377" s="4">
        <v>4</v>
      </c>
      <c r="I377" s="4">
        <v>0</v>
      </c>
      <c r="J377">
        <v>17</v>
      </c>
      <c r="K377">
        <v>22</v>
      </c>
      <c r="L377">
        <v>8</v>
      </c>
      <c r="M377">
        <f t="shared" si="35"/>
        <v>289</v>
      </c>
      <c r="N377">
        <f t="shared" si="36"/>
        <v>0</v>
      </c>
      <c r="O377">
        <f t="shared" si="37"/>
        <v>32</v>
      </c>
      <c r="P377">
        <f t="shared" si="38"/>
        <v>0</v>
      </c>
      <c r="Q377">
        <f t="shared" si="39"/>
        <v>321</v>
      </c>
      <c r="R377">
        <f t="shared" si="40"/>
        <v>3.21</v>
      </c>
      <c r="S377">
        <f t="shared" si="41"/>
        <v>317.79</v>
      </c>
      <c r="T377" t="s">
        <v>25</v>
      </c>
    </row>
    <row r="378" spans="1:20">
      <c r="A378" s="4">
        <v>5085347</v>
      </c>
      <c r="B378" s="5">
        <v>45513</v>
      </c>
      <c r="C378" s="4" t="s">
        <v>134</v>
      </c>
      <c r="D378" s="4" t="s">
        <v>119</v>
      </c>
      <c r="E378" s="4" t="s">
        <v>54</v>
      </c>
      <c r="F378" s="4">
        <v>0</v>
      </c>
      <c r="G378" s="4">
        <v>15</v>
      </c>
      <c r="H378" s="4">
        <v>2</v>
      </c>
      <c r="I378" s="4">
        <v>0</v>
      </c>
      <c r="J378">
        <v>17</v>
      </c>
      <c r="K378">
        <v>22</v>
      </c>
      <c r="L378">
        <v>8</v>
      </c>
      <c r="M378">
        <f t="shared" si="35"/>
        <v>0</v>
      </c>
      <c r="N378">
        <f t="shared" si="36"/>
        <v>330</v>
      </c>
      <c r="O378">
        <f t="shared" si="37"/>
        <v>16</v>
      </c>
      <c r="P378">
        <f t="shared" si="38"/>
        <v>0</v>
      </c>
      <c r="Q378">
        <f t="shared" si="39"/>
        <v>346</v>
      </c>
      <c r="R378">
        <f t="shared" si="40"/>
        <v>3.46</v>
      </c>
      <c r="S378">
        <f t="shared" si="41"/>
        <v>342.54</v>
      </c>
      <c r="T378" t="s">
        <v>25</v>
      </c>
    </row>
    <row r="379" spans="1:20">
      <c r="A379" s="4">
        <v>5085347</v>
      </c>
      <c r="B379" s="5">
        <v>45514</v>
      </c>
      <c r="C379" s="4" t="s">
        <v>134</v>
      </c>
      <c r="D379" s="4" t="s">
        <v>119</v>
      </c>
      <c r="E379" s="4" t="s">
        <v>54</v>
      </c>
      <c r="F379" s="4">
        <v>0</v>
      </c>
      <c r="G379" s="4">
        <v>23</v>
      </c>
      <c r="H379" s="4">
        <v>4</v>
      </c>
      <c r="I379" s="4">
        <v>0</v>
      </c>
      <c r="J379">
        <v>17</v>
      </c>
      <c r="K379">
        <v>22</v>
      </c>
      <c r="L379">
        <v>8</v>
      </c>
      <c r="M379">
        <f t="shared" si="35"/>
        <v>0</v>
      </c>
      <c r="N379">
        <f t="shared" si="36"/>
        <v>506</v>
      </c>
      <c r="O379">
        <f t="shared" si="37"/>
        <v>32</v>
      </c>
      <c r="P379">
        <f t="shared" si="38"/>
        <v>0</v>
      </c>
      <c r="Q379">
        <f t="shared" si="39"/>
        <v>538</v>
      </c>
      <c r="R379">
        <f t="shared" si="40"/>
        <v>5.38</v>
      </c>
      <c r="S379">
        <f t="shared" si="41"/>
        <v>532.62</v>
      </c>
      <c r="T379" t="s">
        <v>25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</dc:creator>
  <cp:lastModifiedBy>subham</cp:lastModifiedBy>
  <dcterms:created xsi:type="dcterms:W3CDTF">2024-08-12T07:23:00Z</dcterms:created>
  <dcterms:modified xsi:type="dcterms:W3CDTF">2024-08-13T07:32:25Z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07A77F46B9694567AF440A86521445B7_11</vt:lpwstr>
  </property>
  <property fmtid="{D5CDD505-2E9C-101B-9397-08002B2CF9AE}" pid="3" name="KSOProductBuildVer">
    <vt:lpwstr>1033-12.2.0.17545</vt:lpwstr>
  </property>
</Properties>
</file>